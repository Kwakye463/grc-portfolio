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SoA" sheetId="3" state="visible" r:id="rId5"/>
    <sheet name="Change Log" sheetId="4" state="visible" r:id="rId6"/>
  </sheets>
  <definedNames>
    <definedName function="false" hidden="false" localSheetId="2" name="_xlnm.Print_Titles" vbProcedure="false">SoA!$1:$1</definedName>
    <definedName function="false" hidden="true" localSheetId="2" name="_xlnm._FilterDatabase" vbProcedure="false">SoA!$A$1:$N$94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<sst xmlns="http://schemas.openxmlformats.org/spreadsheetml/2006/main" count="1248" uniqueCount="594">
  <si>
    <t xml:space="preserve">Statement of Applicability</t>
  </si>
  <si>
    <t xml:space="preserve">Lantern Managed Services Ltd, ISO/IEC 27001:2022 Annex A</t>
  </si>
  <si>
    <t xml:space="preserve">Prepared by</t>
  </si>
  <si>
    <t xml:space="preserve">Eugene Hayford</t>
  </si>
  <si>
    <t xml:space="preserve">Document reference</t>
  </si>
  <si>
    <t xml:space="preserve">LMS-ISMS-SOA-001</t>
  </si>
  <si>
    <t xml:space="preserve">Version</t>
  </si>
  <si>
    <t xml:space="preserve">1.0</t>
  </si>
  <si>
    <t xml:space="preserve">Date</t>
  </si>
  <si>
    <t xml:space="preserve">October 2026</t>
  </si>
  <si>
    <t xml:space="preserve">Classification</t>
  </si>
  <si>
    <t xml:space="preserve">Confidential, Lantern internal</t>
  </si>
  <si>
    <t xml:space="preserve">Standard</t>
  </si>
  <si>
    <t xml:space="preserve">ISO/IEC 27001:2022 Clause 6.1.3 d); control guidance from ISO/IEC 27002:2022</t>
  </si>
  <si>
    <t xml:space="preserve">ISMS scope</t>
  </si>
  <si>
    <t xml:space="preserve">Managed IT support, managed cloud, managed backup and IT project services delivered from Birmingham, Manchester and remote locations, including Lantern's administrative access to client environments.</t>
  </si>
  <si>
    <t xml:space="preserve">Source documents</t>
  </si>
  <si>
    <t xml:space="preserve">Risk Register LMS-ISMS-RR-001 v1.2 (risk links and treatment actions TP-01 to TP-46); ISO/IEC 27001:2022 Gap Assessment (findings GAP-001 to GAP-040)</t>
  </si>
  <si>
    <t xml:space="preserve">Approval status</t>
  </si>
  <si>
    <t xml:space="preserve">Draft for approval by the Managing Director</t>
  </si>
  <si>
    <t xml:space="preserve">Scenario notice</t>
  </si>
  <si>
    <t xml:space="preserve">Lantern Managed Services Ltd is a fictional organisation used to demonstrate ISO/IEC 27001 practice. No real client, employee or commercial information is used.</t>
  </si>
  <si>
    <t xml:space="preserve">How this SoA was built</t>
  </si>
  <si>
    <t xml:space="preserve">1. Each risk in the register was mapped to the Annex A controls that treat it. 56 controls are selected this way and their risk IDs appear in the Linked risks column.</t>
  </si>
  <si>
    <t xml:space="preserve">2. Every remaining control was then tested against legal and regulatory requirements, client contracts and questionnaires, and business need. A control was only excluded if the activity it covers does not happen inside the ISMS scope.</t>
  </si>
  <si>
    <t xml:space="preserve">3. Implementation status and maturity come from the gap assessment, scored per control. Five controls had no gap finding but were found weak during this review and are marked as added at SoA review.</t>
  </si>
  <si>
    <t xml:space="preserve">4. Every applicable control that is not yet implemented is tied to a treatment action (TP reference) or a gap assessment roadmap phase, with an owner and a target date.</t>
  </si>
  <si>
    <t xml:space="preserve">Reason for inclusion codes</t>
  </si>
  <si>
    <t xml:space="preserve">RA</t>
  </si>
  <si>
    <t xml:space="preserve">Risk assessment: selected to treat one or more risks in the register</t>
  </si>
  <si>
    <t xml:space="preserve">LR</t>
  </si>
  <si>
    <t xml:space="preserve">Legal or regulatory requirement (UK GDPR, DPA 2018, PECR, NIS Regulations, expected CSR Bill duties)</t>
  </si>
  <si>
    <t xml:space="preserve">CO</t>
  </si>
  <si>
    <t xml:space="preserve">Contractual obligation or client expectation, including tender and security questionnaire requirements</t>
  </si>
  <si>
    <t xml:space="preserve">BR</t>
  </si>
  <si>
    <t xml:space="preserve">Business requirement or recognised good practice needed for the ISMS to operate</t>
  </si>
  <si>
    <t xml:space="preserve">Implementation status</t>
  </si>
  <si>
    <t xml:space="preserve">Implemented</t>
  </si>
  <si>
    <t xml:space="preserve">All elements of the control are in place, documented and producing records (maturity 3 or above).</t>
  </si>
  <si>
    <t xml:space="preserve">Partially implemented</t>
  </si>
  <si>
    <t xml:space="preserve">Some elements operate, usually technical, but the control is incomplete or undocumented.</t>
  </si>
  <si>
    <t xml:space="preserve">Not implemented</t>
  </si>
  <si>
    <t xml:space="preserve">The control is absent or exists only as informal individual practice.</t>
  </si>
  <si>
    <t xml:space="preserve">Excluded</t>
  </si>
  <si>
    <t xml:space="preserve">Not applicable to the ISMS scope, with the justification recorded.</t>
  </si>
  <si>
    <t xml:space="preserve">Maturity uses the 0 to 5 scale defined in the gap assessment (0 Absent, 1 Initial, 2 Developing, 3 Defined, 4 Managed, 5 Optimising). Status and maturity are recorded separately because a control can be partly in place technically while still scoring 1 for governance.</t>
  </si>
  <si>
    <t xml:space="preserve">SoA Summary</t>
  </si>
  <si>
    <t xml:space="preserve">All figures calculate from the SoA sheet</t>
  </si>
  <si>
    <t xml:space="preserve">Applicability and implementation by theme</t>
  </si>
  <si>
    <t xml:space="preserve">Theme</t>
  </si>
  <si>
    <t xml:space="preserve">Controls</t>
  </si>
  <si>
    <t xml:space="preserve">Applicable</t>
  </si>
  <si>
    <t xml:space="preserve">Avg maturity</t>
  </si>
  <si>
    <t xml:space="preserve">At maturity 3+</t>
  </si>
  <si>
    <t xml:space="preserve">A.5 Organizational</t>
  </si>
  <si>
    <t xml:space="preserve">A.6 People</t>
  </si>
  <si>
    <t xml:space="preserve">A.7 Physical</t>
  </si>
  <si>
    <t xml:space="preserve">A.8 Technological</t>
  </si>
  <si>
    <t xml:space="preserve">Total</t>
  </si>
  <si>
    <t xml:space="preserve">Check: implemented + partial + not implemented + excluded = 93</t>
  </si>
  <si>
    <t xml:space="preserve">Why controls are included</t>
  </si>
  <si>
    <t xml:space="preserve">Reason</t>
  </si>
  <si>
    <t xml:space="preserve">Controls citing it</t>
  </si>
  <si>
    <t xml:space="preserve">% of applicable</t>
  </si>
  <si>
    <t xml:space="preserve">RA Risk assessment</t>
  </si>
  <si>
    <t xml:space="preserve">LR Legal or regulatory</t>
  </si>
  <si>
    <t xml:space="preserve">CO Contractual</t>
  </si>
  <si>
    <t xml:space="preserve">BR Business requirement</t>
  </si>
  <si>
    <t xml:space="preserve">A control can have more than one reason, so the counts add up to more than the number of applicable controls.</t>
  </si>
  <si>
    <t xml:space="preserve">Traceability</t>
  </si>
  <si>
    <t xml:space="preserve">Controls linked to at least one register risk</t>
  </si>
  <si>
    <t xml:space="preserve">Applicable controls with no linked risk (justified on LR, CO or BR)</t>
  </si>
  <si>
    <t xml:space="preserve">Controls with a gap assessment finding</t>
  </si>
  <si>
    <t xml:space="preserve">Weak controls added at SoA review (no prior finding)</t>
  </si>
  <si>
    <t xml:space="preserve">Applicable controls not yet implemented</t>
  </si>
  <si>
    <t xml:space="preserve">  of which have a treatment action (TP) assigned</t>
  </si>
  <si>
    <t xml:space="preserve">  of which are delivered through a roadmap phase</t>
  </si>
  <si>
    <t xml:space="preserve">Exclusions</t>
  </si>
  <si>
    <t xml:space="preserve">Control</t>
  </si>
  <si>
    <t xml:space="preserve">Title</t>
  </si>
  <si>
    <t xml:space="preserve">Justification</t>
  </si>
  <si>
    <t xml:space="preserve">A.8.30</t>
  </si>
  <si>
    <t xml:space="preserve">Outsourced development</t>
  </si>
  <si>
    <t xml:space="preserve">Lantern does not commission software or script development from third parties. All automation is written in house by employees. Re-assess if any development is outsourced.</t>
  </si>
  <si>
    <t xml:space="preserve">One exclusion out of 93 is deliberate. The 2022 control set applies to almost every organisation, and an auditor will test each exclusion against the scope. Controls that are hard or not yet in place stay applicable; only controls whose activity does not happen inside the scope are excluded. A.8.25 to A.8.29 and A.8.31 to A.8.33 were kept in because engineers write and run scripts across client estates, which is development activity even though Lantern sells no software.</t>
  </si>
  <si>
    <t xml:space="preserve">Control title</t>
  </si>
  <si>
    <t xml:space="preserve">Reason for inclusion</t>
  </si>
  <si>
    <t xml:space="preserve">Linked risks</t>
  </si>
  <si>
    <t xml:space="preserve">Current maturity (0-5)</t>
  </si>
  <si>
    <t xml:space="preserve">Current implementation</t>
  </si>
  <si>
    <t xml:space="preserve">Gap assessment ref</t>
  </si>
  <si>
    <t xml:space="preserve">Delivered by</t>
  </si>
  <si>
    <t xml:space="preserve">Control owner</t>
  </si>
  <si>
    <t xml:space="preserve">Target date</t>
  </si>
  <si>
    <t xml:space="preserve">A.5.1</t>
  </si>
  <si>
    <t xml:space="preserve">Policies for information security</t>
  </si>
  <si>
    <t xml:space="preserve">Yes</t>
  </si>
  <si>
    <t xml:space="preserve">RA, BR, CO</t>
  </si>
  <si>
    <t xml:space="preserve">Foundation of the ISMS. Tender and client questionnaires ask for an approved, current policy set.</t>
  </si>
  <si>
    <t xml:space="preserve">R-012</t>
  </si>
  <si>
    <t xml:space="preserve">A 2019 policy exists but has never been reviewed or communicated to staff.</t>
  </si>
  <si>
    <t xml:space="preserve">GAP-007</t>
  </si>
  <si>
    <t xml:space="preserve">Roadmap Phase 1</t>
  </si>
  <si>
    <t xml:space="preserve">Managing Director</t>
  </si>
  <si>
    <t xml:space="preserve">A.5.2</t>
  </si>
  <si>
    <t xml:space="preserve">Information security roles and responsibilities</t>
  </si>
  <si>
    <t xml:space="preserve">RA, BR</t>
  </si>
  <si>
    <t xml:space="preserve">Security work falls to one person with no mandate. Roles must be defined for the ISMS to run.</t>
  </si>
  <si>
    <t xml:space="preserve">R-012, R-013</t>
  </si>
  <si>
    <t xml:space="preserve">No roles defined. The Technical Director covers security informally.</t>
  </si>
  <si>
    <t xml:space="preserve">GAP-008</t>
  </si>
  <si>
    <t xml:space="preserve">TP-06</t>
  </si>
  <si>
    <t xml:space="preserve">A.5.3</t>
  </si>
  <si>
    <t xml:space="preserve">Segregation of duties</t>
  </si>
  <si>
    <t xml:space="preserve">Engineers can request, approve and run changes on client estates on their own.</t>
  </si>
  <si>
    <t xml:space="preserve">R-013</t>
  </si>
  <si>
    <t xml:space="preserve">Finance approvals are separated from requesters. No separation in engineering changes or access approvals.</t>
  </si>
  <si>
    <t xml:space="preserve">GAP-031</t>
  </si>
  <si>
    <t xml:space="preserve">TP-17</t>
  </si>
  <si>
    <t xml:space="preserve">Technical Director</t>
  </si>
  <si>
    <t xml:space="preserve">A.5.4</t>
  </si>
  <si>
    <t xml:space="preserve">Management responsibilities</t>
  </si>
  <si>
    <t xml:space="preserve">Leadership has to require staff to follow security policy. Today security is only discussed after incidents.</t>
  </si>
  <si>
    <t xml:space="preserve">None</t>
  </si>
  <si>
    <t xml:space="preserve">No expectations set or communicated by management.</t>
  </si>
  <si>
    <t xml:space="preserve">GAP-005, GAP-007</t>
  </si>
  <si>
    <t xml:space="preserve">A.5.5</t>
  </si>
  <si>
    <t xml:space="preserve">Contact with authorities</t>
  </si>
  <si>
    <t xml:space="preserve">RA, LR</t>
  </si>
  <si>
    <t xml:space="preserve">Lantern must be able to notify the ICO, and its CSR Bill regulator once designated, and report crime to Action Fraud.</t>
  </si>
  <si>
    <t xml:space="preserve">R-021</t>
  </si>
  <si>
    <t xml:space="preserve">Registered with the ICO. No documented contacts or reporting routes.</t>
  </si>
  <si>
    <t xml:space="preserve">GAP-013</t>
  </si>
  <si>
    <t xml:space="preserve">TP-26</t>
  </si>
  <si>
    <t xml:space="preserve">A.5.6</t>
  </si>
  <si>
    <t xml:space="preserve">Contact with special interest groups</t>
  </si>
  <si>
    <t xml:space="preserve">MSP threat sharing groups give early warning of attacks on RMM and backup tooling.</t>
  </si>
  <si>
    <t xml:space="preserve">Engineers take part in vendor user communities on their own initiative.</t>
  </si>
  <si>
    <t xml:space="preserve">GAP-017</t>
  </si>
  <si>
    <t xml:space="preserve">TP-10</t>
  </si>
  <si>
    <t xml:space="preserve">Infrastructure Lead</t>
  </si>
  <si>
    <t xml:space="preserve">A.5.7</t>
  </si>
  <si>
    <t xml:space="preserve">Threat intelligence</t>
  </si>
  <si>
    <t xml:space="preserve">MSP targeting is an active threat pattern; awareness of RMM platform specific threats is needed to act in time.</t>
  </si>
  <si>
    <t xml:space="preserve">R-014</t>
  </si>
  <si>
    <t xml:space="preserve">Individual engineers read security news informally. Nothing is recorded or acted on.</t>
  </si>
  <si>
    <t xml:space="preserve">A.5.8</t>
  </si>
  <si>
    <t xml:space="preserve">Information security in project management</t>
  </si>
  <si>
    <t xml:space="preserve">Project services deliver migrations and infrastructure changes inside client environments.</t>
  </si>
  <si>
    <t xml:space="preserve">The project method has no security checkpoint or sign off.</t>
  </si>
  <si>
    <t xml:space="preserve">Not raised separately; added at SoA review</t>
  </si>
  <si>
    <t xml:space="preserve">Roadmap Phase 3</t>
  </si>
  <si>
    <t xml:space="preserve">Operations Director</t>
  </si>
  <si>
    <t xml:space="preserve">A.5.9</t>
  </si>
  <si>
    <t xml:space="preserve">Inventory of information and other associated assets</t>
  </si>
  <si>
    <t xml:space="preserve">Lantern cannot protect what it has not identified, and every asset needs an owner.</t>
  </si>
  <si>
    <t xml:space="preserve">Laptops are inventoried in Intune. There is no information asset register.</t>
  </si>
  <si>
    <t xml:space="preserve">GAP-014</t>
  </si>
  <si>
    <t xml:space="preserve">A.5.10</t>
  </si>
  <si>
    <t xml:space="preserve">Acceptable use of information and other associated assets</t>
  </si>
  <si>
    <t xml:space="preserve">Staff handle client data and credentials every day with no written rules.</t>
  </si>
  <si>
    <t xml:space="preserve">No acceptable use policy.</t>
  </si>
  <si>
    <t xml:space="preserve">A.5.11</t>
  </si>
  <si>
    <t xml:space="preserve">Return of assets</t>
  </si>
  <si>
    <t xml:space="preserve">Leavers hold laptops and may hold client documentation.</t>
  </si>
  <si>
    <t xml:space="preserve">HR leaver form requires laptop return. Device is wiped through Intune and the asset record updated.</t>
  </si>
  <si>
    <t xml:space="preserve">No finding</t>
  </si>
  <si>
    <t xml:space="preserve">Maintain; verify at internal audit</t>
  </si>
  <si>
    <t xml:space="preserve">Ongoing</t>
  </si>
  <si>
    <t xml:space="preserve">A.5.12</t>
  </si>
  <si>
    <t xml:space="preserve">Classification of information</t>
  </si>
  <si>
    <t xml:space="preserve">Client credentials, health data and marketing material are currently handled the same way.</t>
  </si>
  <si>
    <t xml:space="preserve">R-006</t>
  </si>
  <si>
    <t xml:space="preserve">No classification scheme.</t>
  </si>
  <si>
    <t xml:space="preserve">GAP-015</t>
  </si>
  <si>
    <t xml:space="preserve">TP-34</t>
  </si>
  <si>
    <t xml:space="preserve">A.5.13</t>
  </si>
  <si>
    <t xml:space="preserve">Labelling of information</t>
  </si>
  <si>
    <t xml:space="preserve">Labels are how staff and DLP rules recognise classified information.</t>
  </si>
  <si>
    <t xml:space="preserve">No labelling.</t>
  </si>
  <si>
    <t xml:space="preserve">A.5.14</t>
  </si>
  <si>
    <t xml:space="preserve">Information transfer</t>
  </si>
  <si>
    <t xml:space="preserve">LR, CO</t>
  </si>
  <si>
    <t xml:space="preserve">Client data and credentials are exchanged with clients and suppliers every day.</t>
  </si>
  <si>
    <t xml:space="preserve">TLS enforced on Microsoft 365 mail. External sharing limited to named guests. Credentials shared only through the vault.</t>
  </si>
  <si>
    <t xml:space="preserve">A.5.15</t>
  </si>
  <si>
    <t xml:space="preserve">Access control</t>
  </si>
  <si>
    <t xml:space="preserve">RA, CO</t>
  </si>
  <si>
    <t xml:space="preserve">Privileged access to 140 client environments is the organisation's principal risk.</t>
  </si>
  <si>
    <t xml:space="preserve">R-001, R-003</t>
  </si>
  <si>
    <t xml:space="preserve">Access granted at engineer discretion. 99 clients on granular delegated admin. No policy.</t>
  </si>
  <si>
    <t xml:space="preserve">GAP-016</t>
  </si>
  <si>
    <t xml:space="preserve">TP-14</t>
  </si>
  <si>
    <t xml:space="preserve">A.5.16</t>
  </si>
  <si>
    <t xml:space="preserve">Identity management</t>
  </si>
  <si>
    <t xml:space="preserve">Every action on a client system must be traceable to one person.</t>
  </si>
  <si>
    <t xml:space="preserve">R-002, R-003</t>
  </si>
  <si>
    <t xml:space="preserve">Named Entra ID identities for staff. Shared accounts on six client tenancies and 9 shared or service accounts internally.</t>
  </si>
  <si>
    <t xml:space="preserve">TP-04</t>
  </si>
  <si>
    <t xml:space="preserve">A.5.17</t>
  </si>
  <si>
    <t xml:space="preserve">Authentication information</t>
  </si>
  <si>
    <t xml:space="preserve">The credential vault holds client administrative credentials.</t>
  </si>
  <si>
    <t xml:space="preserve">R-001</t>
  </si>
  <si>
    <t xml:space="preserve">Password manager and vault in use. No MFA on RMM or backup console. No custody rules for vault recovery keys.</t>
  </si>
  <si>
    <t xml:space="preserve">GAP-030, GAP-036</t>
  </si>
  <si>
    <t xml:space="preserve">TP-01</t>
  </si>
  <si>
    <t xml:space="preserve">A.5.18</t>
  </si>
  <si>
    <t xml:space="preserve">Access rights</t>
  </si>
  <si>
    <t xml:space="preserve">Leaver accounts were found active three months after the engineers left.</t>
  </si>
  <si>
    <t xml:space="preserve">Entra ID accounts disabled on leaving, but client platforms are missed. No access reviews.</t>
  </si>
  <si>
    <t xml:space="preserve">GAP-021, GAP-016</t>
  </si>
  <si>
    <t xml:space="preserve">TP-13</t>
  </si>
  <si>
    <t xml:space="preserve">A.5.19</t>
  </si>
  <si>
    <t xml:space="preserve">Information security in supplier relationships</t>
  </si>
  <si>
    <t xml:space="preserve">Four critical SaaS suppliers hold or can reach client data.</t>
  </si>
  <si>
    <t xml:space="preserve">R-008</t>
  </si>
  <si>
    <t xml:space="preserve">Finance holds a payment list only.</t>
  </si>
  <si>
    <t xml:space="preserve">GAP-012</t>
  </si>
  <si>
    <t xml:space="preserve">TP-23</t>
  </si>
  <si>
    <t xml:space="preserve">Finance Director</t>
  </si>
  <si>
    <t xml:space="preserve">A.5.20</t>
  </si>
  <si>
    <t xml:space="preserve">Addressing information security within supplier agreements</t>
  </si>
  <si>
    <t xml:space="preserve">RA, LR, CO</t>
  </si>
  <si>
    <t xml:space="preserve">UK GDPR requires processor terms with sub-processors, and clients expect security terms to flow down.</t>
  </si>
  <si>
    <t xml:space="preserve">Standard vendor terms accepted with no security schedule.</t>
  </si>
  <si>
    <t xml:space="preserve">Roadmap Phase 2</t>
  </si>
  <si>
    <t xml:space="preserve">A.5.21</t>
  </si>
  <si>
    <t xml:space="preserve">Managing information security in the ICT supply chain</t>
  </si>
  <si>
    <t xml:space="preserve">RMM agents and backup software run on every client endpoint.</t>
  </si>
  <si>
    <t xml:space="preserve">No assessment of how vendors build, sign or release updates.</t>
  </si>
  <si>
    <t xml:space="preserve">TP-24</t>
  </si>
  <si>
    <t xml:space="preserve">A.5.22</t>
  </si>
  <si>
    <t xml:space="preserve">Monitoring, review and change management of supplier services</t>
  </si>
  <si>
    <t xml:space="preserve">Supplier changes and incidents directly affect client service.</t>
  </si>
  <si>
    <t xml:space="preserve">Suppliers are never reviewed.</t>
  </si>
  <si>
    <t xml:space="preserve">A.5.23</t>
  </si>
  <si>
    <t xml:space="preserve">Information security for use of cloud services</t>
  </si>
  <si>
    <t xml:space="preserve">All critical tooling is SaaS and leaving any of it would be operationally severe.</t>
  </si>
  <si>
    <t xml:space="preserve">Cloud services bought without security review. No exit plans.</t>
  </si>
  <si>
    <t xml:space="preserve">GAP-020</t>
  </si>
  <si>
    <t xml:space="preserve">TP-32</t>
  </si>
  <si>
    <t xml:space="preserve">A.5.24</t>
  </si>
  <si>
    <t xml:space="preserve">Information security incident management planning and preparation</t>
  </si>
  <si>
    <t xml:space="preserve">Required for UK GDPR breach notification and the reporting duty expected under the CSR Bill.</t>
  </si>
  <si>
    <t xml:space="preserve">R-011, R-021</t>
  </si>
  <si>
    <t xml:space="preserve">No plan. Incidents handled as ordinary service desk tickets.</t>
  </si>
  <si>
    <t xml:space="preserve">A.5.25</t>
  </si>
  <si>
    <t xml:space="preserve">Assessment and decision on information security events</t>
  </si>
  <si>
    <t xml:space="preserve">Lantern must be able to recognise a reportable incident within hours.</t>
  </si>
  <si>
    <t xml:space="preserve">R-011</t>
  </si>
  <si>
    <t xml:space="preserve">No classification or severity model.</t>
  </si>
  <si>
    <t xml:space="preserve">TP-27</t>
  </si>
  <si>
    <t xml:space="preserve">A.5.26</t>
  </si>
  <si>
    <t xml:space="preserve">Response to information security incidents</t>
  </si>
  <si>
    <t xml:space="preserve">Clients contract for Lantern's support during incidents.</t>
  </si>
  <si>
    <t xml:space="preserve">Engineers respond capably but without defined roles or escalation.</t>
  </si>
  <si>
    <t xml:space="preserve">TP-28</t>
  </si>
  <si>
    <t xml:space="preserve">A.5.27</t>
  </si>
  <si>
    <t xml:space="preserve">Learning from information security incidents</t>
  </si>
  <si>
    <t xml:space="preserve">Stops the same incident happening twice.</t>
  </si>
  <si>
    <t xml:space="preserve">No post incident review takes place.</t>
  </si>
  <si>
    <t xml:space="preserve">A.5.28</t>
  </si>
  <si>
    <t xml:space="preserve">Collection of evidence</t>
  </si>
  <si>
    <t xml:space="preserve">Evidence may be needed by the ICO, insurers or the police.</t>
  </si>
  <si>
    <t xml:space="preserve">No procedure. Service desk actions could destroy evidence.</t>
  </si>
  <si>
    <t xml:space="preserve">A.5.29</t>
  </si>
  <si>
    <t xml:space="preserve">Information security during disruption</t>
  </si>
  <si>
    <t xml:space="preserve">Clients rely on Lantern most during their own disruptions.</t>
  </si>
  <si>
    <t xml:space="preserve">R-018</t>
  </si>
  <si>
    <t xml:space="preserve">One page continuity plan written in 2018.</t>
  </si>
  <si>
    <t xml:space="preserve">GAP-018</t>
  </si>
  <si>
    <t xml:space="preserve">TP-29</t>
  </si>
  <si>
    <t xml:space="preserve">A.5.30</t>
  </si>
  <si>
    <t xml:space="preserve">ICT readiness for business continuity</t>
  </si>
  <si>
    <t xml:space="preserve">Managed backup and recovery are contracted services.</t>
  </si>
  <si>
    <t xml:space="preserve">R-009, R-018</t>
  </si>
  <si>
    <t xml:space="preserve">Backups run but no RTO or RPO is defined and restores are untested.</t>
  </si>
  <si>
    <t xml:space="preserve">GAP-018, GAP-035</t>
  </si>
  <si>
    <t xml:space="preserve">A.5.31</t>
  </si>
  <si>
    <t xml:space="preserve">Legal, statutory, regulatory and contractual requirements</t>
  </si>
  <si>
    <t xml:space="preserve">UK GDPR, DPA 2018, PECR and the NIS Regulations apply, and the CSR Bill is expected to.</t>
  </si>
  <si>
    <t xml:space="preserve">R-007, R-021</t>
  </si>
  <si>
    <t xml:space="preserve">No legal and regulatory register.</t>
  </si>
  <si>
    <t xml:space="preserve">GAP-019</t>
  </si>
  <si>
    <t xml:space="preserve">TP-22</t>
  </si>
  <si>
    <t xml:space="preserve">A.5.32</t>
  </si>
  <si>
    <t xml:space="preserve">Intellectual property rights</t>
  </si>
  <si>
    <t xml:space="preserve">Lantern resells and deploys licensed software into client environments.</t>
  </si>
  <si>
    <t xml:space="preserve">Licences managed through Partner Center and the distributor portal, reconciled quarterly by Finance.</t>
  </si>
  <si>
    <t xml:space="preserve">A.5.33</t>
  </si>
  <si>
    <t xml:space="preserve">Protection of records</t>
  </si>
  <si>
    <t xml:space="preserve">Financial and HR records must be kept for statutory periods.</t>
  </si>
  <si>
    <t xml:space="preserve">Microsoft 365 retention policies applied to finance and HR libraries.</t>
  </si>
  <si>
    <t xml:space="preserve">A.5.34</t>
  </si>
  <si>
    <t xml:space="preserve">Privacy and protection of PII</t>
  </si>
  <si>
    <t xml:space="preserve">Lantern processes client personal data, including health data, as a processor.</t>
  </si>
  <si>
    <t xml:space="preserve">R-006, R-007</t>
  </si>
  <si>
    <t xml:space="preserve">Article 28 terms in 118 of 140 contracts. No Article 30 records.</t>
  </si>
  <si>
    <t xml:space="preserve">TP-21</t>
  </si>
  <si>
    <t xml:space="preserve">A.5.35</t>
  </si>
  <si>
    <t xml:space="preserve">Independent review of information security</t>
  </si>
  <si>
    <t xml:space="preserve">Certification needs independent review and Lantern has none beyond Cyber Essentials.</t>
  </si>
  <si>
    <t xml:space="preserve">Annual Cyber Essentials (basic) certification only.</t>
  </si>
  <si>
    <t xml:space="preserve">GAP-004</t>
  </si>
  <si>
    <t xml:space="preserve">TP-40</t>
  </si>
  <si>
    <t xml:space="preserve">A.5.36</t>
  </si>
  <si>
    <t xml:space="preserve">Compliance with policies, rules and standards for information security</t>
  </si>
  <si>
    <t xml:space="preserve">Policies only reduce risk if someone checks they are followed.</t>
  </si>
  <si>
    <t xml:space="preserve">No compliance checks.</t>
  </si>
  <si>
    <t xml:space="preserve">Information Security Manager</t>
  </si>
  <si>
    <t xml:space="preserve">A.5.37</t>
  </si>
  <si>
    <t xml:space="preserve">Documented operating procedures</t>
  </si>
  <si>
    <t xml:space="preserve">Keeps service consistent across 19 service desk staff and 11 engineers.</t>
  </si>
  <si>
    <t xml:space="preserve">Runbooks held in the documentation platform, with several uncontrolled versions.</t>
  </si>
  <si>
    <t xml:space="preserve">GAP-010</t>
  </si>
  <si>
    <t xml:space="preserve">A.6.1</t>
  </si>
  <si>
    <t xml:space="preserve">Screening</t>
  </si>
  <si>
    <t xml:space="preserve">Engineers get privileged access to clients holding special category data.</t>
  </si>
  <si>
    <t xml:space="preserve">R-020</t>
  </si>
  <si>
    <t xml:space="preserve">Right to work checked. Reference checks inconsistent. No other checks.</t>
  </si>
  <si>
    <t xml:space="preserve">GAP-022</t>
  </si>
  <si>
    <t xml:space="preserve">TP-30</t>
  </si>
  <si>
    <t xml:space="preserve">A.6.2</t>
  </si>
  <si>
    <t xml:space="preserve">Terms and conditions of employment</t>
  </si>
  <si>
    <t xml:space="preserve">Security obligations have to be in the contract to be enforceable.</t>
  </si>
  <si>
    <t xml:space="preserve">General confidentiality clause only.</t>
  </si>
  <si>
    <t xml:space="preserve">GAP-023</t>
  </si>
  <si>
    <t xml:space="preserve">A.6.3</t>
  </si>
  <si>
    <t xml:space="preserve">Information security awareness, education and training</t>
  </si>
  <si>
    <t xml:space="preserve">Clients and insurers expect regular training, and phishing is a top risk.</t>
  </si>
  <si>
    <t xml:space="preserve">R-015</t>
  </si>
  <si>
    <t xml:space="preserve">Annual phishing test with 61% completion.</t>
  </si>
  <si>
    <t xml:space="preserve">GAP-011</t>
  </si>
  <si>
    <t xml:space="preserve">TP-38</t>
  </si>
  <si>
    <t xml:space="preserve">A.6.4</t>
  </si>
  <si>
    <t xml:space="preserve">Disciplinary process</t>
  </si>
  <si>
    <t xml:space="preserve">Staff need to know the consequence of breaching security policy.</t>
  </si>
  <si>
    <t xml:space="preserve">Disciplinary policy does not mention security.</t>
  </si>
  <si>
    <t xml:space="preserve">A.6.5</t>
  </si>
  <si>
    <t xml:space="preserve">Responsibilities after termination or change of employment</t>
  </si>
  <si>
    <t xml:space="preserve">Demonstrated control failure with privileged access retained after employment ended.</t>
  </si>
  <si>
    <t xml:space="preserve">R-002</t>
  </si>
  <si>
    <t xml:space="preserve">Entra ID disabled on leaving. Client platforms not covered. No verification.</t>
  </si>
  <si>
    <t xml:space="preserve">GAP-021</t>
  </si>
  <si>
    <t xml:space="preserve">TP-09</t>
  </si>
  <si>
    <t xml:space="preserve">A.6.6</t>
  </si>
  <si>
    <t xml:space="preserve">Confidentiality or non-disclosure agreements</t>
  </si>
  <si>
    <t xml:space="preserve">Contractors and project staff see client information.</t>
  </si>
  <si>
    <t xml:space="preserve">Employees covered by contract clause. Contractor NDAs inconsistent.</t>
  </si>
  <si>
    <t xml:space="preserve">A.6.7</t>
  </si>
  <si>
    <t xml:space="preserve">Remote working</t>
  </si>
  <si>
    <t xml:space="preserve">Most staff work remotely for part of the week.</t>
  </si>
  <si>
    <t xml:space="preserve">R-016</t>
  </si>
  <si>
    <t xml:space="preserve">Intune compliance, conditional access and BitLocker enforced. No remote working policy.</t>
  </si>
  <si>
    <t xml:space="preserve">GAP-024</t>
  </si>
  <si>
    <t xml:space="preserve">A.6.8</t>
  </si>
  <si>
    <t xml:space="preserve">Information security event reporting</t>
  </si>
  <si>
    <t xml:space="preserve">Early reports from staff shorten the time to detect an incident.</t>
  </si>
  <si>
    <t xml:space="preserve">R-011, R-015</t>
  </si>
  <si>
    <t xml:space="preserve">No defined route. Reports reach the Technical Director informally.</t>
  </si>
  <si>
    <t xml:space="preserve">GAP-025</t>
  </si>
  <si>
    <t xml:space="preserve">A.7.1</t>
  </si>
  <si>
    <t xml:space="preserve">Physical security perimeters</t>
  </si>
  <si>
    <t xml:space="preserve">Two offices plus a server in a shared building.</t>
  </si>
  <si>
    <t xml:space="preserve">R-017</t>
  </si>
  <si>
    <t xml:space="preserve">Birmingham perimeter managed by the landlord. Manchester co-working space never assessed.</t>
  </si>
  <si>
    <t xml:space="preserve">GAP-029</t>
  </si>
  <si>
    <t xml:space="preserve">A.7.2</t>
  </si>
  <si>
    <t xml:space="preserve">Physical entry</t>
  </si>
  <si>
    <t xml:space="preserve">Entry to areas holding client information and equipment must be controlled.</t>
  </si>
  <si>
    <t xml:space="preserve">Fob entry and reception at Birmingham. Manchester unknown. Comms cupboard unlocked.</t>
  </si>
  <si>
    <t xml:space="preserve">GAP-026, GAP-029</t>
  </si>
  <si>
    <t xml:space="preserve">A.7.3</t>
  </si>
  <si>
    <t xml:space="preserve">Securing offices, rooms and facilities</t>
  </si>
  <si>
    <t xml:space="preserve">Client documentation is handled in the office.</t>
  </si>
  <si>
    <t xml:space="preserve">Lantern's floor is locked out of hours, fob access limited to staff, landlord alarm in place.</t>
  </si>
  <si>
    <t xml:space="preserve">A.7.4</t>
  </si>
  <si>
    <t xml:space="preserve">Physical security monitoring</t>
  </si>
  <si>
    <t xml:space="preserve">Legacy on-premises host remains in service in a shared building.</t>
  </si>
  <si>
    <t xml:space="preserve">No CCTV or access logging at the comms cupboard.</t>
  </si>
  <si>
    <t xml:space="preserve">GAP-026</t>
  </si>
  <si>
    <t xml:space="preserve">TP-33</t>
  </si>
  <si>
    <t xml:space="preserve">A.7.5</t>
  </si>
  <si>
    <t xml:space="preserve">Protecting against physical and environmental threats</t>
  </si>
  <si>
    <t xml:space="preserve">Protects the office and the equipment still on site.</t>
  </si>
  <si>
    <t xml:space="preserve">Landlord fire detection and suppression, evidenced by building certificates.</t>
  </si>
  <si>
    <t xml:space="preserve">A.7.6</t>
  </si>
  <si>
    <t xml:space="preserve">Working in secure areas</t>
  </si>
  <si>
    <t xml:space="preserve">The comms cupboard is a secure area while the legacy host is in service.</t>
  </si>
  <si>
    <t xml:space="preserve">Engineers are accompanied by building management. No written rules. Review for exclusion once the host is decommissioned.</t>
  </si>
  <si>
    <t xml:space="preserve">A.7.7</t>
  </si>
  <si>
    <t xml:space="preserve">Clear desk and clear screen</t>
  </si>
  <si>
    <t xml:space="preserve">Client documentation was seen left on desks overnight.</t>
  </si>
  <si>
    <t xml:space="preserve">15 minute screen lock. No policy.</t>
  </si>
  <si>
    <t xml:space="preserve">GAP-027</t>
  </si>
  <si>
    <t xml:space="preserve">A.7.8</t>
  </si>
  <si>
    <t xml:space="preserve">Equipment siting and protection</t>
  </si>
  <si>
    <t xml:space="preserve">The legacy host sits in an unlocked, unmonitored cupboard.</t>
  </si>
  <si>
    <t xml:space="preserve">Laptops protected adequately. Host sited poorly with no environmental monitoring.</t>
  </si>
  <si>
    <t xml:space="preserve">A.7.9</t>
  </si>
  <si>
    <t xml:space="preserve">Security of assets off-premises</t>
  </si>
  <si>
    <t xml:space="preserve">Remote working is standard and laptops leave both offices every day.</t>
  </si>
  <si>
    <t xml:space="preserve">Intune compliance and BitLocker enforced, remote wipe available.</t>
  </si>
  <si>
    <t xml:space="preserve">A.7.10</t>
  </si>
  <si>
    <t xml:space="preserve">Storage media</t>
  </si>
  <si>
    <t xml:space="preserve">Decommissioned devices hold client data until they are wiped.</t>
  </si>
  <si>
    <t xml:space="preserve">Devices wiped inconsistently with no records.</t>
  </si>
  <si>
    <t xml:space="preserve">GAP-028</t>
  </si>
  <si>
    <t xml:space="preserve">A.7.11</t>
  </si>
  <si>
    <t xml:space="preserve">Supporting utilities</t>
  </si>
  <si>
    <t xml:space="preserve">The office and the host depend on building power.</t>
  </si>
  <si>
    <t xml:space="preserve">Landlord supply with UPS on the comms riser. Client services are SaaS hosted.</t>
  </si>
  <si>
    <t xml:space="preserve">A.7.12</t>
  </si>
  <si>
    <t xml:space="preserve">Cabling security</t>
  </si>
  <si>
    <t xml:space="preserve">Office network cabling carries corporate traffic.</t>
  </si>
  <si>
    <t xml:space="preserve">Structured cabling in landlord risers with no exposed runs.</t>
  </si>
  <si>
    <t xml:space="preserve">A.7.13</t>
  </si>
  <si>
    <t xml:space="preserve">Equipment maintenance</t>
  </si>
  <si>
    <t xml:space="preserve">Laptop failure interrupts service desk work.</t>
  </si>
  <si>
    <t xml:space="preserve">Laptops under manufacturer warranty, firmware updated through Intune.</t>
  </si>
  <si>
    <t xml:space="preserve">A.7.14</t>
  </si>
  <si>
    <t xml:space="preserve">Secure disposal or re-use of equipment</t>
  </si>
  <si>
    <t xml:space="preserve">UK GDPR requires personal data to be destroyed securely.</t>
  </si>
  <si>
    <t xml:space="preserve">No certificates of destruction kept.</t>
  </si>
  <si>
    <t xml:space="preserve">A.8.1</t>
  </si>
  <si>
    <t xml:space="preserve">User endpoint devices</t>
  </si>
  <si>
    <t xml:space="preserve">65 managed laptops across two sites and remote locations.</t>
  </si>
  <si>
    <t xml:space="preserve">Intune managed with compliance policies enforced. The 7 lab devices are covered under A.8.8.</t>
  </si>
  <si>
    <t xml:space="preserve">A.8.2</t>
  </si>
  <si>
    <t xml:space="preserve">Privileged access rights</t>
  </si>
  <si>
    <t xml:space="preserve">Privileged access into client estates is the core of Lantern's service and its main exposure.</t>
  </si>
  <si>
    <t xml:space="preserve">R-001, R-002, R-003</t>
  </si>
  <si>
    <t xml:space="preserve">Admin rights assigned informally, shared accounts in use, permanent full vault access for three engineers.</t>
  </si>
  <si>
    <t xml:space="preserve">TP-16</t>
  </si>
  <si>
    <t xml:space="preserve">A.8.3</t>
  </si>
  <si>
    <t xml:space="preserve">Information access restriction</t>
  </si>
  <si>
    <t xml:space="preserve">Client documentation should only be visible to the people who support that client.</t>
  </si>
  <si>
    <t xml:space="preserve">R-003</t>
  </si>
  <si>
    <t xml:space="preserve">SharePoint and Teams permissions set by team. Client documentation limited to the engineering group.</t>
  </si>
  <si>
    <t xml:space="preserve">A.8.4</t>
  </si>
  <si>
    <t xml:space="preserve">Access to source code</t>
  </si>
  <si>
    <t xml:space="preserve">Automation scripts run with high privilege on client devices, so who can change them matters.</t>
  </si>
  <si>
    <t xml:space="preserve">Scripts kept in a shared folder any engineer can edit.</t>
  </si>
  <si>
    <t xml:space="preserve">GAP-038</t>
  </si>
  <si>
    <t xml:space="preserve">TP-18</t>
  </si>
  <si>
    <t xml:space="preserve">A.8.5</t>
  </si>
  <si>
    <t xml:space="preserve">Secure authentication</t>
  </si>
  <si>
    <t xml:space="preserve">MFA gap on the RMM platform and backup console.</t>
  </si>
  <si>
    <t xml:space="preserve">MFA enforced on Microsoft 365 only.</t>
  </si>
  <si>
    <t xml:space="preserve">GAP-030</t>
  </si>
  <si>
    <t xml:space="preserve">A.8.6</t>
  </si>
  <si>
    <t xml:space="preserve">Capacity management</t>
  </si>
  <si>
    <t xml:space="preserve">Azure and SaaS capacity affects client service.</t>
  </si>
  <si>
    <t xml:space="preserve">Azure alerting in place. No capacity planning.</t>
  </si>
  <si>
    <t xml:space="preserve">GAP-039</t>
  </si>
  <si>
    <t xml:space="preserve">A.8.7</t>
  </si>
  <si>
    <t xml:space="preserve">Protection against malware</t>
  </si>
  <si>
    <t xml:space="preserve">Ransomware is the most likely way Lantern's own systems are disrupted.</t>
  </si>
  <si>
    <t xml:space="preserve">R-005</t>
  </si>
  <si>
    <t xml:space="preserve">Defender for Endpoint P1 and Defender for Office 365 P1 on all managed devices and mailboxes.</t>
  </si>
  <si>
    <t xml:space="preserve">A.8.8</t>
  </si>
  <si>
    <t xml:space="preserve">Management of technical vulnerabilities</t>
  </si>
  <si>
    <t xml:space="preserve">Published vulnerabilities in MSP tooling are exploited within days.</t>
  </si>
  <si>
    <t xml:space="preserve">R-005, R-014</t>
  </si>
  <si>
    <t xml:space="preserve">Client patching automated through the RMM. Internal patching inconsistent. No scanning. Lab devices unpatched.</t>
  </si>
  <si>
    <t xml:space="preserve">GAP-033</t>
  </si>
  <si>
    <t xml:space="preserve">TP-31</t>
  </si>
  <si>
    <t xml:space="preserve">A.8.9</t>
  </si>
  <si>
    <t xml:space="preserve">Configuration management</t>
  </si>
  <si>
    <t xml:space="preserve">Consistent secure configuration of Lantern's own devices and cloud tenancy.</t>
  </si>
  <si>
    <t xml:space="preserve">Intune configuration profiles and conditional access baselines applied to all managed devices.</t>
  </si>
  <si>
    <t xml:space="preserve">A.8.10</t>
  </si>
  <si>
    <t xml:space="preserve">Information deletion</t>
  </si>
  <si>
    <t xml:space="preserve">UK GDPR storage limitation, and client data must be deleted when a contract ends.</t>
  </si>
  <si>
    <t xml:space="preserve">Retention set on some libraries. No rule for deleting client data at contract end.</t>
  </si>
  <si>
    <t xml:space="preserve">A.8.11</t>
  </si>
  <si>
    <t xml:space="preserve">Data masking</t>
  </si>
  <si>
    <t xml:space="preserve">Tickets and screenshots expose client personal data to every engineer.</t>
  </si>
  <si>
    <t xml:space="preserve">No masking or minimisation in the PSA.</t>
  </si>
  <si>
    <t xml:space="preserve">A.8.12</t>
  </si>
  <si>
    <t xml:space="preserve">Data leakage prevention</t>
  </si>
  <si>
    <t xml:space="preserve">Client data, including health data, can leave freely by email or USB.</t>
  </si>
  <si>
    <t xml:space="preserve">R-006, R-020</t>
  </si>
  <si>
    <t xml:space="preserve">Microsoft 365 DLP licensed but not enabled.</t>
  </si>
  <si>
    <t xml:space="preserve">GAP-037</t>
  </si>
  <si>
    <t xml:space="preserve">TP-35</t>
  </si>
  <si>
    <t xml:space="preserve">A.8.13</t>
  </si>
  <si>
    <t xml:space="preserve">Information backup</t>
  </si>
  <si>
    <t xml:space="preserve">Backup is a contracted service line and a ransomware recovery dependency.</t>
  </si>
  <si>
    <t xml:space="preserve">R-009</t>
  </si>
  <si>
    <t xml:space="preserve">Daily jobs monitored for success. Restores untested. Immutability not confirmed.</t>
  </si>
  <si>
    <t xml:space="preserve">GAP-035</t>
  </si>
  <si>
    <t xml:space="preserve">TP-12</t>
  </si>
  <si>
    <t xml:space="preserve">A.8.14</t>
  </si>
  <si>
    <t xml:space="preserve">Redundancy of information processing facilities</t>
  </si>
  <si>
    <t xml:space="preserve">Clients expect continuous service from Lantern's platforms.</t>
  </si>
  <si>
    <t xml:space="preserve">Critical services are SaaS or Azure with zone redundant storage.</t>
  </si>
  <si>
    <t xml:space="preserve">A.8.15</t>
  </si>
  <si>
    <t xml:space="preserve">Logging</t>
  </si>
  <si>
    <t xml:space="preserve">Without logs, misuse of privileged access cannot be investigated.</t>
  </si>
  <si>
    <t xml:space="preserve">R-010</t>
  </si>
  <si>
    <t xml:space="preserve">Entra ID and Microsoft 365 logs kept 90 days. RMM, vault and backup logs at platform defaults and not collected.</t>
  </si>
  <si>
    <t xml:space="preserve">GAP-032</t>
  </si>
  <si>
    <t xml:space="preserve">TP-36</t>
  </si>
  <si>
    <t xml:space="preserve">A.8.16</t>
  </si>
  <si>
    <t xml:space="preserve">Monitoring activities</t>
  </si>
  <si>
    <t xml:space="preserve">Detection currently depends on luck.</t>
  </si>
  <si>
    <t xml:space="preserve">R-001, R-010</t>
  </si>
  <si>
    <t xml:space="preserve">No SIEM and no alerting on privileged platforms.</t>
  </si>
  <si>
    <t xml:space="preserve">TP-37</t>
  </si>
  <si>
    <t xml:space="preserve">A.8.17</t>
  </si>
  <si>
    <t xml:space="preserve">Clock synchronization</t>
  </si>
  <si>
    <t xml:space="preserve">Logs from different platforms must line up during an investigation.</t>
  </si>
  <si>
    <t xml:space="preserve">Windows time synchronised through Entra ID and Intune. SaaS platforms use provider time sources.</t>
  </si>
  <si>
    <t xml:space="preserve">A.8.18</t>
  </si>
  <si>
    <t xml:space="preserve">Use of privileged utility programs</t>
  </si>
  <si>
    <t xml:space="preserve">RMM scripting runs as SYSTEM on client devices.</t>
  </si>
  <si>
    <t xml:space="preserve">Script execution limited to the engineering role but needs no approval.</t>
  </si>
  <si>
    <t xml:space="preserve">A.8.19</t>
  </si>
  <si>
    <t xml:space="preserve">Installation of software on operational systems</t>
  </si>
  <si>
    <t xml:space="preserve">Unapproved software on admin laptops is a direct route into client environments.</t>
  </si>
  <si>
    <t xml:space="preserve">Users are not local administrators. Software deployed through Intune only.</t>
  </si>
  <si>
    <t xml:space="preserve">A.8.20</t>
  </si>
  <si>
    <t xml:space="preserve">Networks security</t>
  </si>
  <si>
    <t xml:space="preserve">The office network connects engineer laptops that administer client estates.</t>
  </si>
  <si>
    <t xml:space="preserve">R-005, R-019</t>
  </si>
  <si>
    <t xml:space="preserve">Office firewall and Azure NSGs in place. Office network is flat.</t>
  </si>
  <si>
    <t xml:space="preserve">GAP-034</t>
  </si>
  <si>
    <t xml:space="preserve">TP-19</t>
  </si>
  <si>
    <t xml:space="preserve">A.8.21</t>
  </si>
  <si>
    <t xml:space="preserve">Security of network services</t>
  </si>
  <si>
    <t xml:space="preserve">ISP and Microsoft network services carry all corporate traffic.</t>
  </si>
  <si>
    <t xml:space="preserve">R-019</t>
  </si>
  <si>
    <t xml:space="preserve">Services on standard terms. Security features never reviewed.</t>
  </si>
  <si>
    <t xml:space="preserve">A.8.22</t>
  </si>
  <si>
    <t xml:space="preserve">Segregation of networks</t>
  </si>
  <si>
    <t xml:space="preserve">Staff, visitors and unmanaged lab devices share one network.</t>
  </si>
  <si>
    <t xml:space="preserve">Single flat network with one shared Wi-Fi key.</t>
  </si>
  <si>
    <t xml:space="preserve">A.8.23</t>
  </si>
  <si>
    <t xml:space="preserve">Web filtering</t>
  </si>
  <si>
    <t xml:space="preserve">Reduces exposure to malicious sites used in phishing.</t>
  </si>
  <si>
    <t xml:space="preserve">Defender web content filtering licensed but not enabled.</t>
  </si>
  <si>
    <t xml:space="preserve">GAP-040</t>
  </si>
  <si>
    <t xml:space="preserve">A.8.24</t>
  </si>
  <si>
    <t xml:space="preserve">Use of cryptography</t>
  </si>
  <si>
    <t xml:space="preserve">Protects client credentials and data at rest and in transit.</t>
  </si>
  <si>
    <t xml:space="preserve">BitLocker and TLS in use. No cryptographic policy or key management procedure.</t>
  </si>
  <si>
    <t xml:space="preserve">GAP-036</t>
  </si>
  <si>
    <t xml:space="preserve">A.8.25</t>
  </si>
  <si>
    <t xml:space="preserve">Secure development life cycle</t>
  </si>
  <si>
    <t xml:space="preserve">Applicable because engineers write automation scripts that run across client estates.</t>
  </si>
  <si>
    <t xml:space="preserve">R-004</t>
  </si>
  <si>
    <t xml:space="preserve">Scripts written ad hoc with no defined process.</t>
  </si>
  <si>
    <t xml:space="preserve">A.8.26</t>
  </si>
  <si>
    <t xml:space="preserve">Application security requirements</t>
  </si>
  <si>
    <t xml:space="preserve">Applies when Lantern selects or configures SaaS tools and when scripts are written.</t>
  </si>
  <si>
    <t xml:space="preserve">No security requirements defined when buying or building.</t>
  </si>
  <si>
    <t xml:space="preserve">A.8.27</t>
  </si>
  <si>
    <t xml:space="preserve">Secure system architecture and engineering principles</t>
  </si>
  <si>
    <t xml:space="preserve">Lantern designs infrastructure for itself and its clients.</t>
  </si>
  <si>
    <t xml:space="preserve">Azure environment built to the Microsoft Cloud Adoption Framework landing zone design.</t>
  </si>
  <si>
    <t xml:space="preserve">A.8.28</t>
  </si>
  <si>
    <t xml:space="preserve">Secure coding</t>
  </si>
  <si>
    <t xml:space="preserve">Scripts handle credentials and run with high privilege on client devices.</t>
  </si>
  <si>
    <t xml:space="preserve">No coding standard. Credentials sometimes written into scripts.</t>
  </si>
  <si>
    <t xml:space="preserve">A.8.29</t>
  </si>
  <si>
    <t xml:space="preserve">Security testing in development and acceptance</t>
  </si>
  <si>
    <t xml:space="preserve">Scripts must be tested before release to client estates.</t>
  </si>
  <si>
    <t xml:space="preserve">Scripts are not tested before use.</t>
  </si>
  <si>
    <t xml:space="preserve">No</t>
  </si>
  <si>
    <t xml:space="preserve">N/A</t>
  </si>
  <si>
    <t xml:space="preserve">Not applicable.</t>
  </si>
  <si>
    <t xml:space="preserve">Annual SoA review</t>
  </si>
  <si>
    <t xml:space="preserve">A.8.31</t>
  </si>
  <si>
    <t xml:space="preserve">Separation of development, test and production environments</t>
  </si>
  <si>
    <t xml:space="preserve">Untested scripts currently run straight against live client devices.</t>
  </si>
  <si>
    <t xml:space="preserve">No pilot or test group.</t>
  </si>
  <si>
    <t xml:space="preserve">A.8.32</t>
  </si>
  <si>
    <t xml:space="preserve">Change management</t>
  </si>
  <si>
    <t xml:space="preserve">Script execution across about 3,200 client endpoints without control.</t>
  </si>
  <si>
    <t xml:space="preserve">No change process or change records.</t>
  </si>
  <si>
    <t xml:space="preserve">A.8.33</t>
  </si>
  <si>
    <t xml:space="preserve">Test information</t>
  </si>
  <si>
    <t xml:space="preserve">Pilot testing must not use live client personal data.</t>
  </si>
  <si>
    <t xml:space="preserve">No rules on what data may be used in testing.</t>
  </si>
  <si>
    <t xml:space="preserve">A.8.34</t>
  </si>
  <si>
    <t xml:space="preserve">Protection of information systems during audit testing</t>
  </si>
  <si>
    <t xml:space="preserve">Client auditors and future penetration tests will touch production systems.</t>
  </si>
  <si>
    <t xml:space="preserve">No rules for planning or supervising audit tests.</t>
  </si>
  <si>
    <t xml:space="preserve">Author</t>
  </si>
  <si>
    <t xml:space="preserve">Change</t>
  </si>
  <si>
    <t xml:space="preserve">Approved by</t>
  </si>
  <si>
    <t xml:space="preserve">First issue. All 93 Annex A controls assessed. 92 applicable, 1 excluded (A.8.30). Applicability derived from Risk Register v1.2.</t>
  </si>
  <si>
    <t xml:space="preserve">Pending (Managing Director)</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</si>
</sst>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dd\ mmm\ yyyy"/>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b val="true"/>
      <sz val="11"/>
      <color rgb="FF1F3864"/>
      <name val="Arial"/>
      <family val="0"/>
      <charset val="1"/>
    </font>
    <font>
      <i val="true"/>
      <sz val="10"/>
      <color rgb="FF000000"/>
      <name val="Arial"/>
      <family val="0"/>
      <charset val="1"/>
    </font>
    <font>
      <b val="true"/>
      <sz val="11"/>
      <color rgb="FF375623"/>
      <name val="Arial"/>
      <family val="0"/>
      <charset val="1"/>
    </font>
    <font>
      <b val="true"/>
      <sz val="11"/>
      <color rgb="FF7F6000"/>
      <name val="Arial"/>
      <family val="0"/>
      <charset val="1"/>
    </font>
    <font>
      <b val="true"/>
      <sz val="11"/>
      <color rgb="FF9C0006"/>
      <name val="Arial"/>
      <family val="0"/>
      <charset val="1"/>
    </font>
    <font>
      <b val="true"/>
      <sz val="11"/>
      <color rgb="FF404040"/>
      <name val="Arial"/>
      <family val="0"/>
      <charset val="1"/>
    </font>
    <font>
      <b val="true"/>
      <sz val="12"/>
      <color rgb="FF1F3864"/>
      <name val="Arial"/>
      <family val="0"/>
      <charset val="1"/>
    </font>
    <font>
      <b val="true"/>
      <sz val="10"/>
      <color rgb="FFFFFFFF"/>
      <name val="Arial"/>
      <family val="0"/>
      <charset val="1"/>
    </font>
    <font>
      <i val="true"/>
      <sz val="9"/>
      <color rgb="FF000000"/>
      <name val="Arial"/>
      <family val="0"/>
      <charset val="1"/>
    </font>
    <font>
      <b val="true"/>
      <sz val="9"/>
      <color rgb="FF375623"/>
      <name val="Arial"/>
      <family val="0"/>
      <charset val="1"/>
    </font>
    <font>
      <sz val="11"/>
      <color rgb="FF0000FF"/>
      <name val="Arial"/>
      <family val="0"/>
      <charset val="1"/>
    </font>
    <font>
      <b val="true"/>
      <sz val="11"/>
      <color rgb="FF0000FF"/>
      <name val="Arial"/>
      <family val="0"/>
      <charset val="1"/>
    </font>
  </fonts>
  <fills count="7">
    <fill>
      <patternFill patternType="none"/>
    </fill>
    <fill>
      <patternFill patternType="gray125"/>
    </fill>
    <fill>
      <patternFill patternType="solid">
        <fgColor rgb="FFC6E0B4"/>
        <bgColor rgb="FFD9D9D9"/>
      </patternFill>
    </fill>
    <fill>
      <patternFill patternType="solid">
        <fgColor rgb="FFFFE699"/>
        <bgColor rgb="FFF8CBAD"/>
      </patternFill>
    </fill>
    <fill>
      <patternFill patternType="solid">
        <fgColor rgb="FFF8CBAD"/>
        <bgColor rgb="FFFFE699"/>
      </patternFill>
    </fill>
    <fill>
      <patternFill patternType="solid">
        <fgColor rgb="FFD9D9D9"/>
        <bgColor rgb="FFC6E0B4"/>
      </patternFill>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0000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375623"/>
          <bgColor rgb="FF000000"/>
        </patternFill>
      </fill>
    </dxf>
    <dxf>
      <fill>
        <patternFill patternType="solid">
          <fgColor rgb="FF404040"/>
          <bgColor rgb="FF000000"/>
        </patternFill>
      </fill>
    </dxf>
    <dxf>
      <fill>
        <patternFill patternType="solid">
          <fgColor rgb="FF7F6000"/>
          <bgColor rgb="FF000000"/>
        </patternFill>
      </fill>
    </dxf>
    <dxf>
      <fill>
        <patternFill patternType="solid">
          <fgColor rgb="FF9C0006"/>
          <bgColor rgb="FF000000"/>
        </patternFill>
      </fill>
    </dxf>
    <dxf>
      <font>
        <name val="Arial"/>
        <charset val="1"/>
        <family val="0"/>
        <b val="1"/>
        <color rgb="FF375623"/>
      </font>
      <fill>
        <patternFill>
          <bgColor rgb="FFC6E0B4"/>
        </patternFill>
      </fill>
    </dxf>
    <dxf>
      <font>
        <name val="Arial"/>
        <charset val="1"/>
        <family val="0"/>
        <b val="1"/>
        <color rgb="FF7F6000"/>
      </font>
      <fill>
        <patternFill>
          <bgColor rgb="FFFFE699"/>
        </patternFill>
      </fill>
    </dxf>
    <dxf>
      <font>
        <name val="Arial"/>
        <charset val="1"/>
        <family val="0"/>
        <b val="1"/>
        <color rgb="FF9C0006"/>
      </font>
      <fill>
        <patternFill>
          <bgColor rgb="FFF8CBAD"/>
        </patternFill>
      </fill>
    </dxf>
    <dxf>
      <font>
        <name val="Arial"/>
        <charset val="1"/>
        <family val="0"/>
        <b val="1"/>
        <color rgb="FF404040"/>
      </font>
      <fill>
        <patternFill>
          <bgColor rgb="FFD9D9D9"/>
        </patternFill>
      </fill>
    </dxf>
    <dxf>
      <font>
        <name val="Arial"/>
        <charset val="1"/>
        <family val="0"/>
        <b val="1"/>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8EA9DB"/>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27.75" hidden="false" customHeight="true" outlineLevel="0" collapsed="false">
      <c r="A10" s="3" t="s">
        <v>14</v>
      </c>
      <c r="B10" s="4" t="s">
        <v>15</v>
      </c>
    </row>
    <row r="11" customFormat="false" ht="27.75" hidden="false" customHeight="true" outlineLevel="0" collapsed="false">
      <c r="A11" s="3" t="s">
        <v>16</v>
      </c>
      <c r="B11" s="4" t="s">
        <v>17</v>
      </c>
    </row>
    <row r="12" customFormat="false" ht="15" hidden="false" customHeight="false" outlineLevel="0" collapsed="false">
      <c r="A12" s="3" t="s">
        <v>18</v>
      </c>
      <c r="B12" s="4" t="s">
        <v>19</v>
      </c>
    </row>
    <row r="14" customFormat="false" ht="15" hidden="false" customHeight="false" outlineLevel="0" collapsed="false">
      <c r="A14" s="5" t="s">
        <v>20</v>
      </c>
    </row>
    <row r="15" customFormat="false" ht="15" hidden="false" customHeight="false" outlineLevel="0" collapsed="false">
      <c r="A15" s="6" t="s">
        <v>21</v>
      </c>
      <c r="B15" s="6"/>
    </row>
    <row r="17" customFormat="false" ht="15" hidden="false" customHeight="false" outlineLevel="0" collapsed="false">
      <c r="A17" s="5" t="s">
        <v>22</v>
      </c>
    </row>
    <row r="18" customFormat="false" ht="27.75" hidden="false" customHeight="true" outlineLevel="0" collapsed="false">
      <c r="A18" s="7" t="s">
        <v>23</v>
      </c>
      <c r="B18" s="7"/>
    </row>
    <row r="19" customFormat="false" ht="27.75" hidden="false" customHeight="true" outlineLevel="0" collapsed="false">
      <c r="A19" s="7" t="s">
        <v>24</v>
      </c>
      <c r="B19" s="7"/>
    </row>
    <row r="20" customFormat="false" ht="27.75" hidden="false" customHeight="true" outlineLevel="0" collapsed="false">
      <c r="A20" s="7" t="s">
        <v>25</v>
      </c>
      <c r="B20" s="7"/>
    </row>
    <row r="21" customFormat="false" ht="27.75" hidden="false" customHeight="true" outlineLevel="0" collapsed="false">
      <c r="A21" s="7" t="s">
        <v>26</v>
      </c>
      <c r="B21" s="7"/>
    </row>
    <row r="23" customFormat="false" ht="15" hidden="false" customHeight="false" outlineLevel="0" collapsed="false">
      <c r="A23" s="5" t="s">
        <v>27</v>
      </c>
    </row>
    <row r="24" customFormat="false" ht="15" hidden="false" customHeight="false" outlineLevel="0" collapsed="false">
      <c r="A24" s="3" t="s">
        <v>28</v>
      </c>
      <c r="B24" s="8" t="s">
        <v>29</v>
      </c>
    </row>
    <row r="25" customFormat="false" ht="15" hidden="false" customHeight="false" outlineLevel="0" collapsed="false">
      <c r="A25" s="3" t="s">
        <v>30</v>
      </c>
      <c r="B25" s="8" t="s">
        <v>31</v>
      </c>
    </row>
    <row r="26" customFormat="false" ht="15" hidden="false" customHeight="false" outlineLevel="0" collapsed="false">
      <c r="A26" s="3" t="s">
        <v>32</v>
      </c>
      <c r="B26" s="8" t="s">
        <v>33</v>
      </c>
    </row>
    <row r="27" customFormat="false" ht="15" hidden="false" customHeight="false" outlineLevel="0" collapsed="false">
      <c r="A27" s="3" t="s">
        <v>34</v>
      </c>
      <c r="B27" s="8" t="s">
        <v>35</v>
      </c>
    </row>
    <row r="29" customFormat="false" ht="15" hidden="false" customHeight="false" outlineLevel="0" collapsed="false">
      <c r="A29" s="5" t="s">
        <v>36</v>
      </c>
    </row>
    <row r="30" customFormat="false" ht="15" hidden="false" customHeight="false" outlineLevel="0" collapsed="false">
      <c r="A30" s="9" t="s">
        <v>37</v>
      </c>
      <c r="B30" s="8" t="s">
        <v>38</v>
      </c>
    </row>
    <row r="31" customFormat="false" ht="15" hidden="false" customHeight="false" outlineLevel="0" collapsed="false">
      <c r="A31" s="10" t="s">
        <v>39</v>
      </c>
      <c r="B31" s="8" t="s">
        <v>40</v>
      </c>
    </row>
    <row r="32" customFormat="false" ht="15" hidden="false" customHeight="false" outlineLevel="0" collapsed="false">
      <c r="A32" s="11" t="s">
        <v>41</v>
      </c>
      <c r="B32" s="8" t="s">
        <v>42</v>
      </c>
    </row>
    <row r="33" customFormat="false" ht="15" hidden="false" customHeight="false" outlineLevel="0" collapsed="false">
      <c r="A33" s="12" t="s">
        <v>43</v>
      </c>
      <c r="B33" s="8" t="s">
        <v>44</v>
      </c>
    </row>
    <row r="35" customFormat="false" ht="30" hidden="false" customHeight="true" outlineLevel="0" collapsed="false">
      <c r="A35" s="13" t="s">
        <v>45</v>
      </c>
      <c r="B35" s="13"/>
    </row>
  </sheetData>
  <mergeCells count="6">
    <mergeCell ref="A15:B15"/>
    <mergeCell ref="A18:B18"/>
    <mergeCell ref="A19:B19"/>
    <mergeCell ref="A20:B20"/>
    <mergeCell ref="A21:B21"/>
    <mergeCell ref="A35:B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1"/>
    <col collapsed="false" customWidth="true" hidden="false" outlineLevel="0" max="4" min="4" style="0" width="12"/>
    <col collapsed="false" customWidth="true" hidden="false" outlineLevel="0" max="7" min="5" style="0" width="13"/>
    <col collapsed="false" customWidth="true" hidden="false" outlineLevel="0" max="8" min="8" style="0" width="12"/>
    <col collapsed="false" customWidth="true" hidden="false" outlineLevel="0" max="9" min="9" style="0" width="13"/>
  </cols>
  <sheetData>
    <row r="1" customFormat="false" ht="19.7" hidden="false" customHeight="false" outlineLevel="0" collapsed="false">
      <c r="A1" s="1" t="s">
        <v>46</v>
      </c>
    </row>
    <row r="2" customFormat="false" ht="15" hidden="false" customHeight="false" outlineLevel="0" collapsed="false">
      <c r="A2" s="2" t="s">
        <v>47</v>
      </c>
    </row>
    <row r="4" customFormat="false" ht="15" hidden="false" customHeight="false" outlineLevel="0" collapsed="false">
      <c r="A4" s="14" t="s">
        <v>48</v>
      </c>
    </row>
    <row r="5" customFormat="false" ht="30" hidden="false" customHeight="true" outlineLevel="0" collapsed="false">
      <c r="A5" s="15" t="s">
        <v>49</v>
      </c>
      <c r="B5" s="15" t="s">
        <v>50</v>
      </c>
      <c r="C5" s="15" t="s">
        <v>51</v>
      </c>
      <c r="D5" s="15" t="s">
        <v>43</v>
      </c>
      <c r="E5" s="16" t="s">
        <v>37</v>
      </c>
      <c r="F5" s="17" t="s">
        <v>39</v>
      </c>
      <c r="G5" s="18" t="s">
        <v>41</v>
      </c>
      <c r="H5" s="15" t="s">
        <v>52</v>
      </c>
      <c r="I5" s="15" t="s">
        <v>53</v>
      </c>
    </row>
    <row r="6" customFormat="false" ht="15" hidden="false" customHeight="false" outlineLevel="0" collapsed="false">
      <c r="A6" s="19" t="s">
        <v>54</v>
      </c>
      <c r="B6" s="20" t="n">
        <f aca="false">COUNTIF(SoA!$B$2:$B$94,A6)</f>
        <v>37</v>
      </c>
      <c r="C6" s="20" t="n">
        <f aca="false">COUNTIFS(SoA!$B$2:$B$94,A6,SoA!$D$2:$D$94,"Yes")</f>
        <v>37</v>
      </c>
      <c r="D6" s="20" t="n">
        <f aca="false">COUNTIFS(SoA!$B$2:$B$94,A6,SoA!$D$2:$D$94,"No")</f>
        <v>0</v>
      </c>
      <c r="E6" s="20" t="n">
        <f aca="false">COUNTIFS(SoA!$B$2:$B$94,A6,SoA!$I$2:$I$94,"Implemented")</f>
        <v>4</v>
      </c>
      <c r="F6" s="20" t="n">
        <f aca="false">COUNTIFS(SoA!$B$2:$B$94,A6,SoA!$I$2:$I$94,"Partially implemented")</f>
        <v>16</v>
      </c>
      <c r="G6" s="20" t="n">
        <f aca="false">COUNTIFS(SoA!$B$2:$B$94,A6,SoA!$I$2:$I$94,"Not implemented")</f>
        <v>17</v>
      </c>
      <c r="H6" s="21" t="n">
        <f aca="false">AVERAGEIFS(SoA!$H$2:$H$94,SoA!$B$2:$B$94,A6,SoA!$D$2:$D$94,"Yes")</f>
        <v>1.08108108108108</v>
      </c>
      <c r="I6" s="20" t="n">
        <f aca="false">COUNTIFS(SoA!$B$2:$B$94,A6,SoA!$H$2:$H$94,"&gt;=3")</f>
        <v>4</v>
      </c>
    </row>
    <row r="7" customFormat="false" ht="15" hidden="false" customHeight="false" outlineLevel="0" collapsed="false">
      <c r="A7" s="19" t="s">
        <v>55</v>
      </c>
      <c r="B7" s="20" t="n">
        <f aca="false">COUNTIF(SoA!$B$2:$B$94,A7)</f>
        <v>8</v>
      </c>
      <c r="C7" s="20" t="n">
        <f aca="false">COUNTIFS(SoA!$B$2:$B$94,A7,SoA!$D$2:$D$94,"Yes")</f>
        <v>8</v>
      </c>
      <c r="D7" s="20" t="n">
        <f aca="false">COUNTIFS(SoA!$B$2:$B$94,A7,SoA!$D$2:$D$94,"No")</f>
        <v>0</v>
      </c>
      <c r="E7" s="20" t="n">
        <f aca="false">COUNTIFS(SoA!$B$2:$B$94,A7,SoA!$I$2:$I$94,"Implemented")</f>
        <v>0</v>
      </c>
      <c r="F7" s="20" t="n">
        <f aca="false">COUNTIFS(SoA!$B$2:$B$94,A7,SoA!$I$2:$I$94,"Partially implemented")</f>
        <v>6</v>
      </c>
      <c r="G7" s="20" t="n">
        <f aca="false">COUNTIFS(SoA!$B$2:$B$94,A7,SoA!$I$2:$I$94,"Not implemented")</f>
        <v>2</v>
      </c>
      <c r="H7" s="21" t="n">
        <f aca="false">AVERAGEIFS(SoA!$H$2:$H$94,SoA!$B$2:$B$94,A7,SoA!$D$2:$D$94,"Yes")</f>
        <v>1.375</v>
      </c>
      <c r="I7" s="20" t="n">
        <f aca="false">COUNTIFS(SoA!$B$2:$B$94,A7,SoA!$H$2:$H$94,"&gt;=3")</f>
        <v>0</v>
      </c>
    </row>
    <row r="8" customFormat="false" ht="15" hidden="false" customHeight="false" outlineLevel="0" collapsed="false">
      <c r="A8" s="19" t="s">
        <v>56</v>
      </c>
      <c r="B8" s="20" t="n">
        <f aca="false">COUNTIF(SoA!$B$2:$B$94,A8)</f>
        <v>14</v>
      </c>
      <c r="C8" s="20" t="n">
        <f aca="false">COUNTIFS(SoA!$B$2:$B$94,A8,SoA!$D$2:$D$94,"Yes")</f>
        <v>14</v>
      </c>
      <c r="D8" s="20" t="n">
        <f aca="false">COUNTIFS(SoA!$B$2:$B$94,A8,SoA!$D$2:$D$94,"No")</f>
        <v>0</v>
      </c>
      <c r="E8" s="20" t="n">
        <f aca="false">COUNTIFS(SoA!$B$2:$B$94,A8,SoA!$I$2:$I$94,"Implemented")</f>
        <v>6</v>
      </c>
      <c r="F8" s="20" t="n">
        <f aca="false">COUNTIFS(SoA!$B$2:$B$94,A8,SoA!$I$2:$I$94,"Partially implemented")</f>
        <v>6</v>
      </c>
      <c r="G8" s="20" t="n">
        <f aca="false">COUNTIFS(SoA!$B$2:$B$94,A8,SoA!$I$2:$I$94,"Not implemented")</f>
        <v>2</v>
      </c>
      <c r="H8" s="21" t="n">
        <f aca="false">AVERAGEIFS(SoA!$H$2:$H$94,SoA!$B$2:$B$94,A8,SoA!$D$2:$D$94,"Yes")</f>
        <v>2.07142857142857</v>
      </c>
      <c r="I8" s="20" t="n">
        <f aca="false">COUNTIFS(SoA!$B$2:$B$94,A8,SoA!$H$2:$H$94,"&gt;=3")</f>
        <v>6</v>
      </c>
    </row>
    <row r="9" customFormat="false" ht="15" hidden="false" customHeight="false" outlineLevel="0" collapsed="false">
      <c r="A9" s="19" t="s">
        <v>57</v>
      </c>
      <c r="B9" s="20" t="n">
        <f aca="false">COUNTIF(SoA!$B$2:$B$94,A9)</f>
        <v>34</v>
      </c>
      <c r="C9" s="20" t="n">
        <f aca="false">COUNTIFS(SoA!$B$2:$B$94,A9,SoA!$D$2:$D$94,"Yes")</f>
        <v>33</v>
      </c>
      <c r="D9" s="20" t="n">
        <f aca="false">COUNTIFS(SoA!$B$2:$B$94,A9,SoA!$D$2:$D$94,"No")</f>
        <v>1</v>
      </c>
      <c r="E9" s="20" t="n">
        <f aca="false">COUNTIFS(SoA!$B$2:$B$94,A9,SoA!$I$2:$I$94,"Implemented")</f>
        <v>8</v>
      </c>
      <c r="F9" s="20" t="n">
        <f aca="false">COUNTIFS(SoA!$B$2:$B$94,A9,SoA!$I$2:$I$94,"Partially implemented")</f>
        <v>11</v>
      </c>
      <c r="G9" s="20" t="n">
        <f aca="false">COUNTIFS(SoA!$B$2:$B$94,A9,SoA!$I$2:$I$94,"Not implemented")</f>
        <v>14</v>
      </c>
      <c r="H9" s="21" t="n">
        <f aca="false">AVERAGEIFS(SoA!$H$2:$H$94,SoA!$B$2:$B$94,A9,SoA!$D$2:$D$94,"Yes")</f>
        <v>1.6969696969697</v>
      </c>
      <c r="I9" s="20" t="n">
        <f aca="false">COUNTIFS(SoA!$B$2:$B$94,A9,SoA!$H$2:$H$94,"&gt;=3")</f>
        <v>8</v>
      </c>
    </row>
    <row r="10" customFormat="false" ht="15" hidden="false" customHeight="false" outlineLevel="0" collapsed="false">
      <c r="A10" s="22" t="s">
        <v>58</v>
      </c>
      <c r="B10" s="23" t="n">
        <f aca="false">SUM(B6:B9)</f>
        <v>93</v>
      </c>
      <c r="C10" s="23" t="n">
        <f aca="false">SUM(C6:C9)</f>
        <v>92</v>
      </c>
      <c r="D10" s="23" t="n">
        <f aca="false">SUM(D6:D9)</f>
        <v>1</v>
      </c>
      <c r="E10" s="23" t="n">
        <f aca="false">SUM(E6:E9)</f>
        <v>18</v>
      </c>
      <c r="F10" s="23" t="n">
        <f aca="false">SUM(F6:F9)</f>
        <v>39</v>
      </c>
      <c r="G10" s="23" t="n">
        <f aca="false">SUM(G6:G9)</f>
        <v>35</v>
      </c>
      <c r="H10" s="24" t="n">
        <f aca="false">AVERAGEIF(SoA!$D$2:$D$94,"Yes",SoA!$H$2:$H$94)</f>
        <v>1.47826086956522</v>
      </c>
      <c r="I10" s="23" t="n">
        <f aca="false">SUM(I6:I9)</f>
        <v>18</v>
      </c>
    </row>
    <row r="11" customFormat="false" ht="15" hidden="false" customHeight="false" outlineLevel="0" collapsed="false">
      <c r="A11" s="25" t="s">
        <v>59</v>
      </c>
      <c r="E11" s="26" t="str">
        <f aca="false">IF(E10+F10+G10+D10=B10,"OK","Check rows")</f>
        <v>OK</v>
      </c>
    </row>
    <row r="13" customFormat="false" ht="15" hidden="false" customHeight="false" outlineLevel="0" collapsed="false">
      <c r="A13" s="14" t="s">
        <v>60</v>
      </c>
    </row>
    <row r="14" customFormat="false" ht="30" hidden="false" customHeight="true" outlineLevel="0" collapsed="false">
      <c r="A14" s="15" t="s">
        <v>61</v>
      </c>
      <c r="B14" s="15" t="s">
        <v>62</v>
      </c>
      <c r="C14" s="15" t="s">
        <v>63</v>
      </c>
    </row>
    <row r="15" customFormat="false" ht="15" hidden="false" customHeight="false" outlineLevel="0" collapsed="false">
      <c r="A15" s="19" t="s">
        <v>64</v>
      </c>
      <c r="B15" s="20" t="n">
        <f aca="false">COUNTIF(SoA!$E$2:$E$94,"*RA*")</f>
        <v>56</v>
      </c>
      <c r="C15" s="27" t="n">
        <f aca="false">B15/C$10</f>
        <v>0.608695652173913</v>
      </c>
    </row>
    <row r="16" customFormat="false" ht="15" hidden="false" customHeight="false" outlineLevel="0" collapsed="false">
      <c r="A16" s="19" t="s">
        <v>65</v>
      </c>
      <c r="B16" s="20" t="n">
        <f aca="false">COUNTIF(SoA!$E$2:$E$94,"*LR*")</f>
        <v>17</v>
      </c>
      <c r="C16" s="27" t="n">
        <f aca="false">B16/C$10</f>
        <v>0.184782608695652</v>
      </c>
    </row>
    <row r="17" customFormat="false" ht="15" hidden="false" customHeight="false" outlineLevel="0" collapsed="false">
      <c r="A17" s="19" t="s">
        <v>66</v>
      </c>
      <c r="B17" s="20" t="n">
        <f aca="false">COUNTIF(SoA!$E$2:$E$94,"*CO*")</f>
        <v>25</v>
      </c>
      <c r="C17" s="27" t="n">
        <f aca="false">B17/C$10</f>
        <v>0.271739130434783</v>
      </c>
    </row>
    <row r="18" customFormat="false" ht="15" hidden="false" customHeight="false" outlineLevel="0" collapsed="false">
      <c r="A18" s="19" t="s">
        <v>67</v>
      </c>
      <c r="B18" s="20" t="n">
        <f aca="false">COUNTIF(SoA!$E$2:$E$94,"*BR*")</f>
        <v>56</v>
      </c>
      <c r="C18" s="27" t="n">
        <f aca="false">B18/C$10</f>
        <v>0.608695652173913</v>
      </c>
    </row>
    <row r="19" customFormat="false" ht="15" hidden="false" customHeight="false" outlineLevel="0" collapsed="false">
      <c r="A19" s="25" t="s">
        <v>68</v>
      </c>
    </row>
    <row r="21" customFormat="false" ht="15" hidden="false" customHeight="false" outlineLevel="0" collapsed="false">
      <c r="A21" s="14" t="s">
        <v>69</v>
      </c>
    </row>
    <row r="22" customFormat="false" ht="15" hidden="false" customHeight="false" outlineLevel="0" collapsed="false">
      <c r="A22" s="28" t="s">
        <v>70</v>
      </c>
      <c r="B22" s="28"/>
      <c r="C22" s="28"/>
      <c r="D22" s="28"/>
      <c r="E22" s="28"/>
      <c r="F22" s="23" t="n">
        <f aca="false">COUNTIF(SoA!$G$2:$G$94,"R-*")</f>
        <v>56</v>
      </c>
    </row>
    <row r="23" customFormat="false" ht="15" hidden="false" customHeight="false" outlineLevel="0" collapsed="false">
      <c r="A23" s="28" t="s">
        <v>71</v>
      </c>
      <c r="B23" s="28"/>
      <c r="C23" s="28"/>
      <c r="D23" s="28"/>
      <c r="E23" s="28"/>
      <c r="F23" s="23" t="n">
        <f aca="false">COUNTIFS(SoA!$D$2:$D$94,"Yes",SoA!$G$2:$G$94,"None")</f>
        <v>36</v>
      </c>
    </row>
    <row r="24" customFormat="false" ht="15" hidden="false" customHeight="false" outlineLevel="0" collapsed="false">
      <c r="A24" s="28" t="s">
        <v>72</v>
      </c>
      <c r="B24" s="28"/>
      <c r="C24" s="28"/>
      <c r="D24" s="28"/>
      <c r="E24" s="28"/>
      <c r="F24" s="23" t="n">
        <f aca="false">COUNTIF(SoA!$K$2:$K$94,"GAP-*")</f>
        <v>69</v>
      </c>
    </row>
    <row r="25" customFormat="false" ht="15" hidden="false" customHeight="false" outlineLevel="0" collapsed="false">
      <c r="A25" s="28" t="s">
        <v>73</v>
      </c>
      <c r="B25" s="28"/>
      <c r="C25" s="28"/>
      <c r="D25" s="28"/>
      <c r="E25" s="28"/>
      <c r="F25" s="23" t="n">
        <f aca="false">COUNTIF(SoA!$K$2:$K$94,"Not raised*")</f>
        <v>5</v>
      </c>
    </row>
    <row r="26" customFormat="false" ht="15" hidden="false" customHeight="false" outlineLevel="0" collapsed="false">
      <c r="A26" s="28" t="s">
        <v>74</v>
      </c>
      <c r="B26" s="28"/>
      <c r="C26" s="28"/>
      <c r="D26" s="28"/>
      <c r="E26" s="28"/>
      <c r="F26" s="23" t="n">
        <f aca="false">F10+G10</f>
        <v>74</v>
      </c>
    </row>
    <row r="27" customFormat="false" ht="15" hidden="false" customHeight="false" outlineLevel="0" collapsed="false">
      <c r="A27" s="28" t="s">
        <v>75</v>
      </c>
      <c r="B27" s="28"/>
      <c r="C27" s="28"/>
      <c r="D27" s="28"/>
      <c r="E27" s="28"/>
      <c r="F27" s="23" t="n">
        <f aca="false">COUNTIFS(SoA!$I$2:$I$94,"&lt;&gt;Implemented",SoA!$D$2:$D$94,"Yes",SoA!$L$2:$L$94,"TP-*")</f>
        <v>50</v>
      </c>
    </row>
    <row r="28" customFormat="false" ht="15" hidden="false" customHeight="false" outlineLevel="0" collapsed="false">
      <c r="A28" s="28" t="s">
        <v>76</v>
      </c>
      <c r="B28" s="28"/>
      <c r="C28" s="28"/>
      <c r="D28" s="28"/>
      <c r="E28" s="28"/>
      <c r="F28" s="23" t="n">
        <f aca="false">COUNTIFS(SoA!$I$2:$I$94,"&lt;&gt;Implemented",SoA!$D$2:$D$94,"Yes",SoA!$L$2:$L$94,"Roadmap*")</f>
        <v>24</v>
      </c>
    </row>
    <row r="30" customFormat="false" ht="15" hidden="false" customHeight="false" outlineLevel="0" collapsed="false">
      <c r="A30" s="14" t="s">
        <v>77</v>
      </c>
    </row>
    <row r="31" customFormat="false" ht="30" hidden="false" customHeight="true" outlineLevel="0" collapsed="false">
      <c r="A31" s="15" t="s">
        <v>78</v>
      </c>
      <c r="B31" s="15" t="s">
        <v>79</v>
      </c>
      <c r="C31" s="15"/>
      <c r="D31" s="15"/>
      <c r="E31" s="15" t="s">
        <v>80</v>
      </c>
      <c r="F31" s="15"/>
      <c r="G31" s="15"/>
      <c r="H31" s="15"/>
      <c r="I31" s="15"/>
    </row>
    <row r="32" customFormat="false" ht="45" hidden="false" customHeight="true" outlineLevel="0" collapsed="false">
      <c r="A32" s="22" t="s">
        <v>81</v>
      </c>
      <c r="B32" s="7" t="s">
        <v>82</v>
      </c>
      <c r="C32" s="7"/>
      <c r="D32" s="7"/>
      <c r="E32" s="7" t="s">
        <v>83</v>
      </c>
      <c r="F32" s="7"/>
      <c r="G32" s="7"/>
      <c r="H32" s="7"/>
      <c r="I32" s="7"/>
    </row>
    <row r="34" customFormat="false" ht="69.75" hidden="false" customHeight="true" outlineLevel="0" collapsed="false">
      <c r="A34" s="29" t="s">
        <v>84</v>
      </c>
      <c r="B34" s="29"/>
      <c r="C34" s="29"/>
      <c r="D34" s="29"/>
      <c r="E34" s="29"/>
      <c r="F34" s="29"/>
      <c r="G34" s="29"/>
      <c r="H34" s="29"/>
      <c r="I34" s="29"/>
    </row>
  </sheetData>
  <mergeCells count="12">
    <mergeCell ref="A22:E22"/>
    <mergeCell ref="A23:E23"/>
    <mergeCell ref="A24:E24"/>
    <mergeCell ref="A25:E25"/>
    <mergeCell ref="A26:E26"/>
    <mergeCell ref="A27:E27"/>
    <mergeCell ref="A28:E28"/>
    <mergeCell ref="B31:D31"/>
    <mergeCell ref="E31:I31"/>
    <mergeCell ref="B32:D32"/>
    <mergeCell ref="E32:I32"/>
    <mergeCell ref="A34:I3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36"/>
    <col collapsed="false" customWidth="true" hidden="false" outlineLevel="0" max="4" min="4" style="0" width="11"/>
    <col collapsed="false" customWidth="true" hidden="false" outlineLevel="0" max="5" min="5" style="0" width="12"/>
    <col collapsed="false" customWidth="true" hidden="false" outlineLevel="0" max="6" min="6" style="0" width="52"/>
    <col collapsed="false" customWidth="true" hidden="false" outlineLevel="0" max="7" min="7" style="0" width="16"/>
    <col collapsed="false" customWidth="true" hidden="false" outlineLevel="0" max="8" min="8" style="0" width="11"/>
    <col collapsed="false" customWidth="true" hidden="false" outlineLevel="0" max="9" min="9" style="0" width="16"/>
    <col collapsed="false" customWidth="true" hidden="false" outlineLevel="0" max="10" min="10" style="0" width="52"/>
    <col collapsed="false" customWidth="true" hidden="false" outlineLevel="0" max="11" min="11" style="0" width="20"/>
    <col collapsed="false" customWidth="true" hidden="false" outlineLevel="0" max="12" min="12" style="0" width="18"/>
    <col collapsed="false" customWidth="true" hidden="false" outlineLevel="0" max="13" min="13" style="0" width="20"/>
    <col collapsed="false" customWidth="true" hidden="false" outlineLevel="0" max="14" min="14" style="0" width="12"/>
  </cols>
  <sheetData>
    <row r="1" customFormat="false" ht="31.5" hidden="false" customHeight="true" outlineLevel="0" collapsed="false">
      <c r="A1" s="15" t="s">
        <v>78</v>
      </c>
      <c r="B1" s="15" t="s">
        <v>49</v>
      </c>
      <c r="C1" s="15" t="s">
        <v>85</v>
      </c>
      <c r="D1" s="15" t="s">
        <v>51</v>
      </c>
      <c r="E1" s="15" t="s">
        <v>86</v>
      </c>
      <c r="F1" s="15" t="s">
        <v>80</v>
      </c>
      <c r="G1" s="15" t="s">
        <v>87</v>
      </c>
      <c r="H1" s="15" t="s">
        <v>88</v>
      </c>
      <c r="I1" s="15" t="s">
        <v>36</v>
      </c>
      <c r="J1" s="15" t="s">
        <v>89</v>
      </c>
      <c r="K1" s="15" t="s">
        <v>90</v>
      </c>
      <c r="L1" s="15" t="s">
        <v>91</v>
      </c>
      <c r="M1" s="15" t="s">
        <v>92</v>
      </c>
      <c r="N1" s="15" t="s">
        <v>93</v>
      </c>
    </row>
    <row r="2" customFormat="false" ht="26.85" hidden="false" customHeight="false" outlineLevel="0" collapsed="false">
      <c r="A2" s="30" t="s">
        <v>94</v>
      </c>
      <c r="B2" s="31" t="s">
        <v>54</v>
      </c>
      <c r="C2" s="31" t="s">
        <v>95</v>
      </c>
      <c r="D2" s="32" t="s">
        <v>96</v>
      </c>
      <c r="E2" s="33" t="s">
        <v>97</v>
      </c>
      <c r="F2" s="31" t="s">
        <v>98</v>
      </c>
      <c r="G2" s="31" t="s">
        <v>99</v>
      </c>
      <c r="H2" s="32" t="n">
        <v>1</v>
      </c>
      <c r="I2" s="34" t="s">
        <v>39</v>
      </c>
      <c r="J2" s="31" t="s">
        <v>100</v>
      </c>
      <c r="K2" s="31" t="s">
        <v>101</v>
      </c>
      <c r="L2" s="31" t="s">
        <v>102</v>
      </c>
      <c r="M2" s="31" t="s">
        <v>103</v>
      </c>
      <c r="N2" s="35" t="n">
        <v>46444</v>
      </c>
    </row>
    <row r="3" customFormat="false" ht="26.85" hidden="false" customHeight="false" outlineLevel="0" collapsed="false">
      <c r="A3" s="30" t="s">
        <v>104</v>
      </c>
      <c r="B3" s="31" t="s">
        <v>54</v>
      </c>
      <c r="C3" s="31" t="s">
        <v>105</v>
      </c>
      <c r="D3" s="32" t="s">
        <v>96</v>
      </c>
      <c r="E3" s="33" t="s">
        <v>106</v>
      </c>
      <c r="F3" s="31" t="s">
        <v>107</v>
      </c>
      <c r="G3" s="31" t="s">
        <v>108</v>
      </c>
      <c r="H3" s="32" t="n">
        <v>1</v>
      </c>
      <c r="I3" s="34" t="s">
        <v>41</v>
      </c>
      <c r="J3" s="31" t="s">
        <v>109</v>
      </c>
      <c r="K3" s="31" t="s">
        <v>110</v>
      </c>
      <c r="L3" s="31" t="s">
        <v>111</v>
      </c>
      <c r="M3" s="31" t="s">
        <v>103</v>
      </c>
      <c r="N3" s="35" t="n">
        <v>46374</v>
      </c>
    </row>
    <row r="4" customFormat="false" ht="26.85" hidden="false" customHeight="false" outlineLevel="0" collapsed="false">
      <c r="A4" s="30" t="s">
        <v>112</v>
      </c>
      <c r="B4" s="31" t="s">
        <v>54</v>
      </c>
      <c r="C4" s="31" t="s">
        <v>113</v>
      </c>
      <c r="D4" s="32" t="s">
        <v>96</v>
      </c>
      <c r="E4" s="33" t="s">
        <v>106</v>
      </c>
      <c r="F4" s="31" t="s">
        <v>114</v>
      </c>
      <c r="G4" s="31" t="s">
        <v>115</v>
      </c>
      <c r="H4" s="32" t="n">
        <v>1</v>
      </c>
      <c r="I4" s="34" t="s">
        <v>39</v>
      </c>
      <c r="J4" s="31" t="s">
        <v>116</v>
      </c>
      <c r="K4" s="31" t="s">
        <v>117</v>
      </c>
      <c r="L4" s="31" t="s">
        <v>118</v>
      </c>
      <c r="M4" s="31" t="s">
        <v>119</v>
      </c>
      <c r="N4" s="35" t="n">
        <v>46477</v>
      </c>
    </row>
    <row r="5" customFormat="false" ht="26.85" hidden="false" customHeight="false" outlineLevel="0" collapsed="false">
      <c r="A5" s="30" t="s">
        <v>120</v>
      </c>
      <c r="B5" s="31" t="s">
        <v>54</v>
      </c>
      <c r="C5" s="31" t="s">
        <v>121</v>
      </c>
      <c r="D5" s="32" t="s">
        <v>96</v>
      </c>
      <c r="E5" s="33" t="s">
        <v>34</v>
      </c>
      <c r="F5" s="31" t="s">
        <v>122</v>
      </c>
      <c r="G5" s="31" t="s">
        <v>123</v>
      </c>
      <c r="H5" s="32" t="n">
        <v>1</v>
      </c>
      <c r="I5" s="34" t="s">
        <v>41</v>
      </c>
      <c r="J5" s="31" t="s">
        <v>124</v>
      </c>
      <c r="K5" s="31" t="s">
        <v>125</v>
      </c>
      <c r="L5" s="31" t="s">
        <v>102</v>
      </c>
      <c r="M5" s="31" t="s">
        <v>103</v>
      </c>
      <c r="N5" s="35" t="n">
        <v>46444</v>
      </c>
    </row>
    <row r="6" customFormat="false" ht="26.85" hidden="false" customHeight="false" outlineLevel="0" collapsed="false">
      <c r="A6" s="30" t="s">
        <v>126</v>
      </c>
      <c r="B6" s="31" t="s">
        <v>54</v>
      </c>
      <c r="C6" s="31" t="s">
        <v>127</v>
      </c>
      <c r="D6" s="32" t="s">
        <v>96</v>
      </c>
      <c r="E6" s="33" t="s">
        <v>128</v>
      </c>
      <c r="F6" s="31" t="s">
        <v>129</v>
      </c>
      <c r="G6" s="31" t="s">
        <v>130</v>
      </c>
      <c r="H6" s="32" t="n">
        <v>2</v>
      </c>
      <c r="I6" s="34" t="s">
        <v>39</v>
      </c>
      <c r="J6" s="31" t="s">
        <v>131</v>
      </c>
      <c r="K6" s="31" t="s">
        <v>132</v>
      </c>
      <c r="L6" s="31" t="s">
        <v>133</v>
      </c>
      <c r="M6" s="31" t="s">
        <v>119</v>
      </c>
      <c r="N6" s="35" t="n">
        <v>46477</v>
      </c>
    </row>
    <row r="7" customFormat="false" ht="26.85" hidden="false" customHeight="false" outlineLevel="0" collapsed="false">
      <c r="A7" s="30" t="s">
        <v>134</v>
      </c>
      <c r="B7" s="31" t="s">
        <v>54</v>
      </c>
      <c r="C7" s="31" t="s">
        <v>135</v>
      </c>
      <c r="D7" s="32" t="s">
        <v>96</v>
      </c>
      <c r="E7" s="33" t="s">
        <v>34</v>
      </c>
      <c r="F7" s="31" t="s">
        <v>136</v>
      </c>
      <c r="G7" s="31" t="s">
        <v>123</v>
      </c>
      <c r="H7" s="32" t="n">
        <v>2</v>
      </c>
      <c r="I7" s="34" t="s">
        <v>39</v>
      </c>
      <c r="J7" s="31" t="s">
        <v>137</v>
      </c>
      <c r="K7" s="31" t="s">
        <v>138</v>
      </c>
      <c r="L7" s="31" t="s">
        <v>139</v>
      </c>
      <c r="M7" s="31" t="s">
        <v>140</v>
      </c>
      <c r="N7" s="35" t="n">
        <v>46374</v>
      </c>
    </row>
    <row r="8" customFormat="false" ht="26.85" hidden="false" customHeight="false" outlineLevel="0" collapsed="false">
      <c r="A8" s="30" t="s">
        <v>141</v>
      </c>
      <c r="B8" s="31" t="s">
        <v>54</v>
      </c>
      <c r="C8" s="31" t="s">
        <v>142</v>
      </c>
      <c r="D8" s="32" t="s">
        <v>96</v>
      </c>
      <c r="E8" s="33" t="s">
        <v>106</v>
      </c>
      <c r="F8" s="31" t="s">
        <v>143</v>
      </c>
      <c r="G8" s="31" t="s">
        <v>144</v>
      </c>
      <c r="H8" s="32" t="n">
        <v>1</v>
      </c>
      <c r="I8" s="34" t="s">
        <v>41</v>
      </c>
      <c r="J8" s="31" t="s">
        <v>145</v>
      </c>
      <c r="K8" s="31" t="s">
        <v>138</v>
      </c>
      <c r="L8" s="31" t="s">
        <v>139</v>
      </c>
      <c r="M8" s="31" t="s">
        <v>140</v>
      </c>
      <c r="N8" s="35" t="n">
        <v>46374</v>
      </c>
    </row>
    <row r="9" customFormat="false" ht="26.85" hidden="false" customHeight="false" outlineLevel="0" collapsed="false">
      <c r="A9" s="30" t="s">
        <v>146</v>
      </c>
      <c r="B9" s="31" t="s">
        <v>54</v>
      </c>
      <c r="C9" s="31" t="s">
        <v>147</v>
      </c>
      <c r="D9" s="32" t="s">
        <v>96</v>
      </c>
      <c r="E9" s="33" t="s">
        <v>32</v>
      </c>
      <c r="F9" s="31" t="s">
        <v>148</v>
      </c>
      <c r="G9" s="31" t="s">
        <v>123</v>
      </c>
      <c r="H9" s="32" t="n">
        <v>1</v>
      </c>
      <c r="I9" s="34" t="s">
        <v>41</v>
      </c>
      <c r="J9" s="31" t="s">
        <v>149</v>
      </c>
      <c r="K9" s="31" t="s">
        <v>150</v>
      </c>
      <c r="L9" s="31" t="s">
        <v>151</v>
      </c>
      <c r="M9" s="31" t="s">
        <v>152</v>
      </c>
      <c r="N9" s="35" t="n">
        <v>46660</v>
      </c>
    </row>
    <row r="10" customFormat="false" ht="26.85" hidden="false" customHeight="false" outlineLevel="0" collapsed="false">
      <c r="A10" s="30" t="s">
        <v>153</v>
      </c>
      <c r="B10" s="31" t="s">
        <v>54</v>
      </c>
      <c r="C10" s="31" t="s">
        <v>154</v>
      </c>
      <c r="D10" s="32" t="s">
        <v>96</v>
      </c>
      <c r="E10" s="33" t="s">
        <v>34</v>
      </c>
      <c r="F10" s="31" t="s">
        <v>155</v>
      </c>
      <c r="G10" s="31" t="s">
        <v>123</v>
      </c>
      <c r="H10" s="32" t="n">
        <v>1</v>
      </c>
      <c r="I10" s="34" t="s">
        <v>39</v>
      </c>
      <c r="J10" s="31" t="s">
        <v>156</v>
      </c>
      <c r="K10" s="31" t="s">
        <v>157</v>
      </c>
      <c r="L10" s="31" t="s">
        <v>102</v>
      </c>
      <c r="M10" s="31" t="s">
        <v>119</v>
      </c>
      <c r="N10" s="35" t="n">
        <v>46444</v>
      </c>
    </row>
    <row r="11" customFormat="false" ht="26.85" hidden="false" customHeight="false" outlineLevel="0" collapsed="false">
      <c r="A11" s="30" t="s">
        <v>158</v>
      </c>
      <c r="B11" s="31" t="s">
        <v>54</v>
      </c>
      <c r="C11" s="31" t="s">
        <v>159</v>
      </c>
      <c r="D11" s="32" t="s">
        <v>96</v>
      </c>
      <c r="E11" s="33" t="s">
        <v>34</v>
      </c>
      <c r="F11" s="31" t="s">
        <v>160</v>
      </c>
      <c r="G11" s="31" t="s">
        <v>123</v>
      </c>
      <c r="H11" s="32" t="n">
        <v>1</v>
      </c>
      <c r="I11" s="34" t="s">
        <v>41</v>
      </c>
      <c r="J11" s="31" t="s">
        <v>161</v>
      </c>
      <c r="K11" s="31" t="s">
        <v>157</v>
      </c>
      <c r="L11" s="31" t="s">
        <v>102</v>
      </c>
      <c r="M11" s="31" t="s">
        <v>152</v>
      </c>
      <c r="N11" s="35" t="n">
        <v>46444</v>
      </c>
    </row>
    <row r="12" customFormat="false" ht="23.85" hidden="false" customHeight="false" outlineLevel="0" collapsed="false">
      <c r="A12" s="30" t="s">
        <v>162</v>
      </c>
      <c r="B12" s="31" t="s">
        <v>54</v>
      </c>
      <c r="C12" s="31" t="s">
        <v>163</v>
      </c>
      <c r="D12" s="32" t="s">
        <v>96</v>
      </c>
      <c r="E12" s="33" t="s">
        <v>34</v>
      </c>
      <c r="F12" s="31" t="s">
        <v>164</v>
      </c>
      <c r="G12" s="31" t="s">
        <v>123</v>
      </c>
      <c r="H12" s="32" t="n">
        <v>3</v>
      </c>
      <c r="I12" s="34" t="s">
        <v>37</v>
      </c>
      <c r="J12" s="31" t="s">
        <v>165</v>
      </c>
      <c r="K12" s="31" t="s">
        <v>166</v>
      </c>
      <c r="L12" s="31" t="s">
        <v>167</v>
      </c>
      <c r="M12" s="31" t="s">
        <v>152</v>
      </c>
      <c r="N12" s="35" t="s">
        <v>168</v>
      </c>
    </row>
    <row r="13" customFormat="false" ht="26.85" hidden="false" customHeight="false" outlineLevel="0" collapsed="false">
      <c r="A13" s="30" t="s">
        <v>169</v>
      </c>
      <c r="B13" s="31" t="s">
        <v>54</v>
      </c>
      <c r="C13" s="31" t="s">
        <v>170</v>
      </c>
      <c r="D13" s="32" t="s">
        <v>96</v>
      </c>
      <c r="E13" s="33" t="s">
        <v>106</v>
      </c>
      <c r="F13" s="31" t="s">
        <v>171</v>
      </c>
      <c r="G13" s="31" t="s">
        <v>172</v>
      </c>
      <c r="H13" s="32" t="n">
        <v>0</v>
      </c>
      <c r="I13" s="34" t="s">
        <v>41</v>
      </c>
      <c r="J13" s="31" t="s">
        <v>173</v>
      </c>
      <c r="K13" s="31" t="s">
        <v>174</v>
      </c>
      <c r="L13" s="31" t="s">
        <v>175</v>
      </c>
      <c r="M13" s="31" t="s">
        <v>119</v>
      </c>
      <c r="N13" s="35" t="n">
        <v>46568</v>
      </c>
    </row>
    <row r="14" customFormat="false" ht="26.85" hidden="false" customHeight="false" outlineLevel="0" collapsed="false">
      <c r="A14" s="30" t="s">
        <v>176</v>
      </c>
      <c r="B14" s="31" t="s">
        <v>54</v>
      </c>
      <c r="C14" s="31" t="s">
        <v>177</v>
      </c>
      <c r="D14" s="32" t="s">
        <v>96</v>
      </c>
      <c r="E14" s="33" t="s">
        <v>106</v>
      </c>
      <c r="F14" s="31" t="s">
        <v>178</v>
      </c>
      <c r="G14" s="31" t="s">
        <v>172</v>
      </c>
      <c r="H14" s="32" t="n">
        <v>0</v>
      </c>
      <c r="I14" s="34" t="s">
        <v>41</v>
      </c>
      <c r="J14" s="31" t="s">
        <v>179</v>
      </c>
      <c r="K14" s="31" t="s">
        <v>174</v>
      </c>
      <c r="L14" s="31" t="s">
        <v>175</v>
      </c>
      <c r="M14" s="31" t="s">
        <v>119</v>
      </c>
      <c r="N14" s="35" t="n">
        <v>46568</v>
      </c>
    </row>
    <row r="15" customFormat="false" ht="23.85" hidden="false" customHeight="false" outlineLevel="0" collapsed="false">
      <c r="A15" s="30" t="s">
        <v>180</v>
      </c>
      <c r="B15" s="31" t="s">
        <v>54</v>
      </c>
      <c r="C15" s="31" t="s">
        <v>181</v>
      </c>
      <c r="D15" s="32" t="s">
        <v>96</v>
      </c>
      <c r="E15" s="33" t="s">
        <v>182</v>
      </c>
      <c r="F15" s="31" t="s">
        <v>183</v>
      </c>
      <c r="G15" s="31" t="s">
        <v>123</v>
      </c>
      <c r="H15" s="32" t="n">
        <v>3</v>
      </c>
      <c r="I15" s="34" t="s">
        <v>37</v>
      </c>
      <c r="J15" s="31" t="s">
        <v>184</v>
      </c>
      <c r="K15" s="31" t="s">
        <v>166</v>
      </c>
      <c r="L15" s="31" t="s">
        <v>167</v>
      </c>
      <c r="M15" s="31" t="s">
        <v>119</v>
      </c>
      <c r="N15" s="35" t="s">
        <v>168</v>
      </c>
    </row>
    <row r="16" customFormat="false" ht="26.85" hidden="false" customHeight="false" outlineLevel="0" collapsed="false">
      <c r="A16" s="30" t="s">
        <v>185</v>
      </c>
      <c r="B16" s="31" t="s">
        <v>54</v>
      </c>
      <c r="C16" s="31" t="s">
        <v>186</v>
      </c>
      <c r="D16" s="32" t="s">
        <v>96</v>
      </c>
      <c r="E16" s="33" t="s">
        <v>187</v>
      </c>
      <c r="F16" s="31" t="s">
        <v>188</v>
      </c>
      <c r="G16" s="31" t="s">
        <v>189</v>
      </c>
      <c r="H16" s="32" t="n">
        <v>1</v>
      </c>
      <c r="I16" s="34" t="s">
        <v>39</v>
      </c>
      <c r="J16" s="31" t="s">
        <v>190</v>
      </c>
      <c r="K16" s="31" t="s">
        <v>191</v>
      </c>
      <c r="L16" s="31" t="s">
        <v>192</v>
      </c>
      <c r="M16" s="31" t="s">
        <v>119</v>
      </c>
      <c r="N16" s="35" t="n">
        <v>46477</v>
      </c>
    </row>
    <row r="17" customFormat="false" ht="26.85" hidden="false" customHeight="false" outlineLevel="0" collapsed="false">
      <c r="A17" s="30" t="s">
        <v>193</v>
      </c>
      <c r="B17" s="31" t="s">
        <v>54</v>
      </c>
      <c r="C17" s="31" t="s">
        <v>194</v>
      </c>
      <c r="D17" s="32" t="s">
        <v>96</v>
      </c>
      <c r="E17" s="33" t="s">
        <v>106</v>
      </c>
      <c r="F17" s="31" t="s">
        <v>195</v>
      </c>
      <c r="G17" s="31" t="s">
        <v>196</v>
      </c>
      <c r="H17" s="32" t="n">
        <v>2</v>
      </c>
      <c r="I17" s="34" t="s">
        <v>39</v>
      </c>
      <c r="J17" s="31" t="s">
        <v>197</v>
      </c>
      <c r="K17" s="31" t="s">
        <v>191</v>
      </c>
      <c r="L17" s="31" t="s">
        <v>198</v>
      </c>
      <c r="M17" s="31" t="s">
        <v>140</v>
      </c>
      <c r="N17" s="35" t="n">
        <v>46339</v>
      </c>
    </row>
    <row r="18" customFormat="false" ht="26.85" hidden="false" customHeight="false" outlineLevel="0" collapsed="false">
      <c r="A18" s="30" t="s">
        <v>199</v>
      </c>
      <c r="B18" s="31" t="s">
        <v>54</v>
      </c>
      <c r="C18" s="31" t="s">
        <v>200</v>
      </c>
      <c r="D18" s="32" t="s">
        <v>96</v>
      </c>
      <c r="E18" s="33" t="s">
        <v>187</v>
      </c>
      <c r="F18" s="31" t="s">
        <v>201</v>
      </c>
      <c r="G18" s="31" t="s">
        <v>202</v>
      </c>
      <c r="H18" s="32" t="n">
        <v>1</v>
      </c>
      <c r="I18" s="34" t="s">
        <v>39</v>
      </c>
      <c r="J18" s="31" t="s">
        <v>203</v>
      </c>
      <c r="K18" s="31" t="s">
        <v>204</v>
      </c>
      <c r="L18" s="31" t="s">
        <v>205</v>
      </c>
      <c r="M18" s="31" t="s">
        <v>119</v>
      </c>
      <c r="N18" s="35" t="n">
        <v>46332</v>
      </c>
    </row>
    <row r="19" customFormat="false" ht="26.85" hidden="false" customHeight="false" outlineLevel="0" collapsed="false">
      <c r="A19" s="30" t="s">
        <v>206</v>
      </c>
      <c r="B19" s="31" t="s">
        <v>54</v>
      </c>
      <c r="C19" s="31" t="s">
        <v>207</v>
      </c>
      <c r="D19" s="32" t="s">
        <v>96</v>
      </c>
      <c r="E19" s="33" t="s">
        <v>106</v>
      </c>
      <c r="F19" s="31" t="s">
        <v>208</v>
      </c>
      <c r="G19" s="31" t="s">
        <v>196</v>
      </c>
      <c r="H19" s="32" t="n">
        <v>1</v>
      </c>
      <c r="I19" s="34" t="s">
        <v>39</v>
      </c>
      <c r="J19" s="31" t="s">
        <v>209</v>
      </c>
      <c r="K19" s="31" t="s">
        <v>210</v>
      </c>
      <c r="L19" s="31" t="s">
        <v>211</v>
      </c>
      <c r="M19" s="31" t="s">
        <v>119</v>
      </c>
      <c r="N19" s="35" t="n">
        <v>46477</v>
      </c>
    </row>
    <row r="20" customFormat="false" ht="26.85" hidden="false" customHeight="false" outlineLevel="0" collapsed="false">
      <c r="A20" s="30" t="s">
        <v>212</v>
      </c>
      <c r="B20" s="31" t="s">
        <v>54</v>
      </c>
      <c r="C20" s="31" t="s">
        <v>213</v>
      </c>
      <c r="D20" s="32" t="s">
        <v>96</v>
      </c>
      <c r="E20" s="33" t="s">
        <v>187</v>
      </c>
      <c r="F20" s="31" t="s">
        <v>214</v>
      </c>
      <c r="G20" s="31" t="s">
        <v>215</v>
      </c>
      <c r="H20" s="32" t="n">
        <v>0</v>
      </c>
      <c r="I20" s="34" t="s">
        <v>41</v>
      </c>
      <c r="J20" s="31" t="s">
        <v>216</v>
      </c>
      <c r="K20" s="31" t="s">
        <v>217</v>
      </c>
      <c r="L20" s="31" t="s">
        <v>218</v>
      </c>
      <c r="M20" s="31" t="s">
        <v>219</v>
      </c>
      <c r="N20" s="35" t="n">
        <v>46477</v>
      </c>
    </row>
    <row r="21" customFormat="false" ht="26.85" hidden="false" customHeight="false" outlineLevel="0" collapsed="false">
      <c r="A21" s="30" t="s">
        <v>220</v>
      </c>
      <c r="B21" s="31" t="s">
        <v>54</v>
      </c>
      <c r="C21" s="31" t="s">
        <v>221</v>
      </c>
      <c r="D21" s="32" t="s">
        <v>96</v>
      </c>
      <c r="E21" s="33" t="s">
        <v>222</v>
      </c>
      <c r="F21" s="31" t="s">
        <v>223</v>
      </c>
      <c r="G21" s="31" t="s">
        <v>215</v>
      </c>
      <c r="H21" s="32" t="n">
        <v>0</v>
      </c>
      <c r="I21" s="34" t="s">
        <v>41</v>
      </c>
      <c r="J21" s="31" t="s">
        <v>224</v>
      </c>
      <c r="K21" s="31" t="s">
        <v>217</v>
      </c>
      <c r="L21" s="31" t="s">
        <v>225</v>
      </c>
      <c r="M21" s="31" t="s">
        <v>219</v>
      </c>
      <c r="N21" s="35" t="n">
        <v>46568</v>
      </c>
    </row>
    <row r="22" customFormat="false" ht="26.85" hidden="false" customHeight="false" outlineLevel="0" collapsed="false">
      <c r="A22" s="30" t="s">
        <v>226</v>
      </c>
      <c r="B22" s="31" t="s">
        <v>54</v>
      </c>
      <c r="C22" s="31" t="s">
        <v>227</v>
      </c>
      <c r="D22" s="32" t="s">
        <v>96</v>
      </c>
      <c r="E22" s="33" t="s">
        <v>187</v>
      </c>
      <c r="F22" s="31" t="s">
        <v>228</v>
      </c>
      <c r="G22" s="31" t="s">
        <v>215</v>
      </c>
      <c r="H22" s="32" t="n">
        <v>0</v>
      </c>
      <c r="I22" s="34" t="s">
        <v>41</v>
      </c>
      <c r="J22" s="31" t="s">
        <v>229</v>
      </c>
      <c r="K22" s="31" t="s">
        <v>217</v>
      </c>
      <c r="L22" s="31" t="s">
        <v>230</v>
      </c>
      <c r="M22" s="31" t="s">
        <v>119</v>
      </c>
      <c r="N22" s="35" t="n">
        <v>46535</v>
      </c>
    </row>
    <row r="23" customFormat="false" ht="26.85" hidden="false" customHeight="false" outlineLevel="0" collapsed="false">
      <c r="A23" s="30" t="s">
        <v>231</v>
      </c>
      <c r="B23" s="31" t="s">
        <v>54</v>
      </c>
      <c r="C23" s="31" t="s">
        <v>232</v>
      </c>
      <c r="D23" s="32" t="s">
        <v>96</v>
      </c>
      <c r="E23" s="33" t="s">
        <v>187</v>
      </c>
      <c r="F23" s="31" t="s">
        <v>233</v>
      </c>
      <c r="G23" s="31" t="s">
        <v>215</v>
      </c>
      <c r="H23" s="32" t="n">
        <v>0</v>
      </c>
      <c r="I23" s="34" t="s">
        <v>41</v>
      </c>
      <c r="J23" s="31" t="s">
        <v>234</v>
      </c>
      <c r="K23" s="31" t="s">
        <v>217</v>
      </c>
      <c r="L23" s="31" t="s">
        <v>225</v>
      </c>
      <c r="M23" s="31" t="s">
        <v>219</v>
      </c>
      <c r="N23" s="35" t="n">
        <v>46568</v>
      </c>
    </row>
    <row r="24" customFormat="false" ht="26.85" hidden="false" customHeight="false" outlineLevel="0" collapsed="false">
      <c r="A24" s="30" t="s">
        <v>235</v>
      </c>
      <c r="B24" s="31" t="s">
        <v>54</v>
      </c>
      <c r="C24" s="31" t="s">
        <v>236</v>
      </c>
      <c r="D24" s="32" t="s">
        <v>96</v>
      </c>
      <c r="E24" s="33" t="s">
        <v>106</v>
      </c>
      <c r="F24" s="31" t="s">
        <v>237</v>
      </c>
      <c r="G24" s="31" t="s">
        <v>215</v>
      </c>
      <c r="H24" s="32" t="n">
        <v>1</v>
      </c>
      <c r="I24" s="34" t="s">
        <v>39</v>
      </c>
      <c r="J24" s="31" t="s">
        <v>238</v>
      </c>
      <c r="K24" s="31" t="s">
        <v>239</v>
      </c>
      <c r="L24" s="31" t="s">
        <v>240</v>
      </c>
      <c r="M24" s="31" t="s">
        <v>119</v>
      </c>
      <c r="N24" s="35" t="n">
        <v>46598</v>
      </c>
    </row>
    <row r="25" customFormat="false" ht="26.85" hidden="false" customHeight="false" outlineLevel="0" collapsed="false">
      <c r="A25" s="30" t="s">
        <v>241</v>
      </c>
      <c r="B25" s="31" t="s">
        <v>54</v>
      </c>
      <c r="C25" s="31" t="s">
        <v>242</v>
      </c>
      <c r="D25" s="32" t="s">
        <v>96</v>
      </c>
      <c r="E25" s="33" t="s">
        <v>128</v>
      </c>
      <c r="F25" s="31" t="s">
        <v>243</v>
      </c>
      <c r="G25" s="31" t="s">
        <v>244</v>
      </c>
      <c r="H25" s="32" t="n">
        <v>1</v>
      </c>
      <c r="I25" s="34" t="s">
        <v>41</v>
      </c>
      <c r="J25" s="31" t="s">
        <v>245</v>
      </c>
      <c r="K25" s="31" t="s">
        <v>132</v>
      </c>
      <c r="L25" s="31" t="s">
        <v>133</v>
      </c>
      <c r="M25" s="31" t="s">
        <v>119</v>
      </c>
      <c r="N25" s="35" t="n">
        <v>46477</v>
      </c>
    </row>
    <row r="26" customFormat="false" ht="26.85" hidden="false" customHeight="false" outlineLevel="0" collapsed="false">
      <c r="A26" s="30" t="s">
        <v>246</v>
      </c>
      <c r="B26" s="31" t="s">
        <v>54</v>
      </c>
      <c r="C26" s="31" t="s">
        <v>247</v>
      </c>
      <c r="D26" s="32" t="s">
        <v>96</v>
      </c>
      <c r="E26" s="33" t="s">
        <v>128</v>
      </c>
      <c r="F26" s="31" t="s">
        <v>248</v>
      </c>
      <c r="G26" s="31" t="s">
        <v>249</v>
      </c>
      <c r="H26" s="32" t="n">
        <v>1</v>
      </c>
      <c r="I26" s="34" t="s">
        <v>41</v>
      </c>
      <c r="J26" s="31" t="s">
        <v>250</v>
      </c>
      <c r="K26" s="31" t="s">
        <v>132</v>
      </c>
      <c r="L26" s="31" t="s">
        <v>251</v>
      </c>
      <c r="M26" s="31" t="s">
        <v>152</v>
      </c>
      <c r="N26" s="35" t="n">
        <v>46477</v>
      </c>
    </row>
    <row r="27" customFormat="false" ht="26.85" hidden="false" customHeight="false" outlineLevel="0" collapsed="false">
      <c r="A27" s="30" t="s">
        <v>252</v>
      </c>
      <c r="B27" s="31" t="s">
        <v>54</v>
      </c>
      <c r="C27" s="31" t="s">
        <v>253</v>
      </c>
      <c r="D27" s="32" t="s">
        <v>96</v>
      </c>
      <c r="E27" s="33" t="s">
        <v>187</v>
      </c>
      <c r="F27" s="31" t="s">
        <v>254</v>
      </c>
      <c r="G27" s="31" t="s">
        <v>249</v>
      </c>
      <c r="H27" s="32" t="n">
        <v>1</v>
      </c>
      <c r="I27" s="34" t="s">
        <v>39</v>
      </c>
      <c r="J27" s="31" t="s">
        <v>255</v>
      </c>
      <c r="K27" s="31" t="s">
        <v>132</v>
      </c>
      <c r="L27" s="31" t="s">
        <v>256</v>
      </c>
      <c r="M27" s="31" t="s">
        <v>119</v>
      </c>
      <c r="N27" s="35" t="n">
        <v>46535</v>
      </c>
    </row>
    <row r="28" customFormat="false" ht="26.85" hidden="false" customHeight="false" outlineLevel="0" collapsed="false">
      <c r="A28" s="30" t="s">
        <v>257</v>
      </c>
      <c r="B28" s="31" t="s">
        <v>54</v>
      </c>
      <c r="C28" s="31" t="s">
        <v>258</v>
      </c>
      <c r="D28" s="32" t="s">
        <v>96</v>
      </c>
      <c r="E28" s="33" t="s">
        <v>106</v>
      </c>
      <c r="F28" s="31" t="s">
        <v>259</v>
      </c>
      <c r="G28" s="31" t="s">
        <v>249</v>
      </c>
      <c r="H28" s="32" t="n">
        <v>0</v>
      </c>
      <c r="I28" s="34" t="s">
        <v>41</v>
      </c>
      <c r="J28" s="31" t="s">
        <v>260</v>
      </c>
      <c r="K28" s="31" t="s">
        <v>132</v>
      </c>
      <c r="L28" s="31" t="s">
        <v>133</v>
      </c>
      <c r="M28" s="31" t="s">
        <v>119</v>
      </c>
      <c r="N28" s="35" t="n">
        <v>46477</v>
      </c>
    </row>
    <row r="29" customFormat="false" ht="26.85" hidden="false" customHeight="false" outlineLevel="0" collapsed="false">
      <c r="A29" s="30" t="s">
        <v>261</v>
      </c>
      <c r="B29" s="31" t="s">
        <v>54</v>
      </c>
      <c r="C29" s="31" t="s">
        <v>262</v>
      </c>
      <c r="D29" s="32" t="s">
        <v>96</v>
      </c>
      <c r="E29" s="33" t="s">
        <v>128</v>
      </c>
      <c r="F29" s="31" t="s">
        <v>263</v>
      </c>
      <c r="G29" s="31" t="s">
        <v>249</v>
      </c>
      <c r="H29" s="32" t="n">
        <v>0</v>
      </c>
      <c r="I29" s="34" t="s">
        <v>41</v>
      </c>
      <c r="J29" s="31" t="s">
        <v>264</v>
      </c>
      <c r="K29" s="31" t="s">
        <v>132</v>
      </c>
      <c r="L29" s="31" t="s">
        <v>133</v>
      </c>
      <c r="M29" s="31" t="s">
        <v>119</v>
      </c>
      <c r="N29" s="35" t="n">
        <v>46477</v>
      </c>
    </row>
    <row r="30" customFormat="false" ht="26.85" hidden="false" customHeight="false" outlineLevel="0" collapsed="false">
      <c r="A30" s="30" t="s">
        <v>265</v>
      </c>
      <c r="B30" s="31" t="s">
        <v>54</v>
      </c>
      <c r="C30" s="31" t="s">
        <v>266</v>
      </c>
      <c r="D30" s="32" t="s">
        <v>96</v>
      </c>
      <c r="E30" s="33" t="s">
        <v>187</v>
      </c>
      <c r="F30" s="31" t="s">
        <v>267</v>
      </c>
      <c r="G30" s="31" t="s">
        <v>268</v>
      </c>
      <c r="H30" s="32" t="n">
        <v>1</v>
      </c>
      <c r="I30" s="34" t="s">
        <v>39</v>
      </c>
      <c r="J30" s="31" t="s">
        <v>269</v>
      </c>
      <c r="K30" s="31" t="s">
        <v>270</v>
      </c>
      <c r="L30" s="31" t="s">
        <v>271</v>
      </c>
      <c r="M30" s="31" t="s">
        <v>152</v>
      </c>
      <c r="N30" s="35" t="n">
        <v>46568</v>
      </c>
    </row>
    <row r="31" customFormat="false" ht="26.85" hidden="false" customHeight="false" outlineLevel="0" collapsed="false">
      <c r="A31" s="30" t="s">
        <v>272</v>
      </c>
      <c r="B31" s="31" t="s">
        <v>54</v>
      </c>
      <c r="C31" s="31" t="s">
        <v>273</v>
      </c>
      <c r="D31" s="32" t="s">
        <v>96</v>
      </c>
      <c r="E31" s="33" t="s">
        <v>187</v>
      </c>
      <c r="F31" s="31" t="s">
        <v>274</v>
      </c>
      <c r="G31" s="31" t="s">
        <v>275</v>
      </c>
      <c r="H31" s="32" t="n">
        <v>1</v>
      </c>
      <c r="I31" s="34" t="s">
        <v>39</v>
      </c>
      <c r="J31" s="31" t="s">
        <v>276</v>
      </c>
      <c r="K31" s="31" t="s">
        <v>277</v>
      </c>
      <c r="L31" s="31" t="s">
        <v>271</v>
      </c>
      <c r="M31" s="31" t="s">
        <v>152</v>
      </c>
      <c r="N31" s="35" t="n">
        <v>46568</v>
      </c>
    </row>
    <row r="32" customFormat="false" ht="26.85" hidden="false" customHeight="false" outlineLevel="0" collapsed="false">
      <c r="A32" s="30" t="s">
        <v>278</v>
      </c>
      <c r="B32" s="31" t="s">
        <v>54</v>
      </c>
      <c r="C32" s="31" t="s">
        <v>279</v>
      </c>
      <c r="D32" s="32" t="s">
        <v>96</v>
      </c>
      <c r="E32" s="33" t="s">
        <v>128</v>
      </c>
      <c r="F32" s="31" t="s">
        <v>280</v>
      </c>
      <c r="G32" s="31" t="s">
        <v>281</v>
      </c>
      <c r="H32" s="32" t="n">
        <v>1</v>
      </c>
      <c r="I32" s="34" t="s">
        <v>41</v>
      </c>
      <c r="J32" s="31" t="s">
        <v>282</v>
      </c>
      <c r="K32" s="31" t="s">
        <v>283</v>
      </c>
      <c r="L32" s="31" t="s">
        <v>284</v>
      </c>
      <c r="M32" s="31" t="s">
        <v>219</v>
      </c>
      <c r="N32" s="35" t="n">
        <v>46477</v>
      </c>
    </row>
    <row r="33" customFormat="false" ht="23.85" hidden="false" customHeight="false" outlineLevel="0" collapsed="false">
      <c r="A33" s="30" t="s">
        <v>285</v>
      </c>
      <c r="B33" s="31" t="s">
        <v>54</v>
      </c>
      <c r="C33" s="31" t="s">
        <v>286</v>
      </c>
      <c r="D33" s="32" t="s">
        <v>96</v>
      </c>
      <c r="E33" s="33" t="s">
        <v>30</v>
      </c>
      <c r="F33" s="31" t="s">
        <v>287</v>
      </c>
      <c r="G33" s="31" t="s">
        <v>123</v>
      </c>
      <c r="H33" s="32" t="n">
        <v>3</v>
      </c>
      <c r="I33" s="34" t="s">
        <v>37</v>
      </c>
      <c r="J33" s="31" t="s">
        <v>288</v>
      </c>
      <c r="K33" s="31" t="s">
        <v>166</v>
      </c>
      <c r="L33" s="31" t="s">
        <v>167</v>
      </c>
      <c r="M33" s="31" t="s">
        <v>219</v>
      </c>
      <c r="N33" s="35" t="s">
        <v>168</v>
      </c>
    </row>
    <row r="34" customFormat="false" ht="23.85" hidden="false" customHeight="false" outlineLevel="0" collapsed="false">
      <c r="A34" s="30" t="s">
        <v>289</v>
      </c>
      <c r="B34" s="31" t="s">
        <v>54</v>
      </c>
      <c r="C34" s="31" t="s">
        <v>290</v>
      </c>
      <c r="D34" s="32" t="s">
        <v>96</v>
      </c>
      <c r="E34" s="33" t="s">
        <v>30</v>
      </c>
      <c r="F34" s="31" t="s">
        <v>291</v>
      </c>
      <c r="G34" s="31" t="s">
        <v>123</v>
      </c>
      <c r="H34" s="32" t="n">
        <v>3</v>
      </c>
      <c r="I34" s="34" t="s">
        <v>37</v>
      </c>
      <c r="J34" s="31" t="s">
        <v>292</v>
      </c>
      <c r="K34" s="31" t="s">
        <v>166</v>
      </c>
      <c r="L34" s="31" t="s">
        <v>167</v>
      </c>
      <c r="M34" s="31" t="s">
        <v>219</v>
      </c>
      <c r="N34" s="35" t="s">
        <v>168</v>
      </c>
    </row>
    <row r="35" customFormat="false" ht="26.85" hidden="false" customHeight="false" outlineLevel="0" collapsed="false">
      <c r="A35" s="30" t="s">
        <v>293</v>
      </c>
      <c r="B35" s="31" t="s">
        <v>54</v>
      </c>
      <c r="C35" s="31" t="s">
        <v>294</v>
      </c>
      <c r="D35" s="32" t="s">
        <v>96</v>
      </c>
      <c r="E35" s="33" t="s">
        <v>222</v>
      </c>
      <c r="F35" s="31" t="s">
        <v>295</v>
      </c>
      <c r="G35" s="31" t="s">
        <v>296</v>
      </c>
      <c r="H35" s="32" t="n">
        <v>1</v>
      </c>
      <c r="I35" s="34" t="s">
        <v>39</v>
      </c>
      <c r="J35" s="31" t="s">
        <v>297</v>
      </c>
      <c r="K35" s="31" t="s">
        <v>283</v>
      </c>
      <c r="L35" s="31" t="s">
        <v>298</v>
      </c>
      <c r="M35" s="31" t="s">
        <v>219</v>
      </c>
      <c r="N35" s="35" t="n">
        <v>46507</v>
      </c>
    </row>
    <row r="36" customFormat="false" ht="26.85" hidden="false" customHeight="false" outlineLevel="0" collapsed="false">
      <c r="A36" s="30" t="s">
        <v>299</v>
      </c>
      <c r="B36" s="31" t="s">
        <v>54</v>
      </c>
      <c r="C36" s="31" t="s">
        <v>300</v>
      </c>
      <c r="D36" s="32" t="s">
        <v>96</v>
      </c>
      <c r="E36" s="33" t="s">
        <v>106</v>
      </c>
      <c r="F36" s="31" t="s">
        <v>301</v>
      </c>
      <c r="G36" s="31" t="s">
        <v>99</v>
      </c>
      <c r="H36" s="32" t="n">
        <v>1</v>
      </c>
      <c r="I36" s="34" t="s">
        <v>39</v>
      </c>
      <c r="J36" s="31" t="s">
        <v>302</v>
      </c>
      <c r="K36" s="31" t="s">
        <v>303</v>
      </c>
      <c r="L36" s="31" t="s">
        <v>304</v>
      </c>
      <c r="M36" s="31" t="s">
        <v>103</v>
      </c>
      <c r="N36" s="35" t="n">
        <v>46717</v>
      </c>
    </row>
    <row r="37" customFormat="false" ht="26.85" hidden="false" customHeight="false" outlineLevel="0" collapsed="false">
      <c r="A37" s="30" t="s">
        <v>305</v>
      </c>
      <c r="B37" s="31" t="s">
        <v>54</v>
      </c>
      <c r="C37" s="31" t="s">
        <v>306</v>
      </c>
      <c r="D37" s="32" t="s">
        <v>96</v>
      </c>
      <c r="E37" s="33" t="s">
        <v>34</v>
      </c>
      <c r="F37" s="31" t="s">
        <v>307</v>
      </c>
      <c r="G37" s="31" t="s">
        <v>123</v>
      </c>
      <c r="H37" s="32" t="n">
        <v>0</v>
      </c>
      <c r="I37" s="34" t="s">
        <v>41</v>
      </c>
      <c r="J37" s="31" t="s">
        <v>308</v>
      </c>
      <c r="K37" s="31" t="s">
        <v>303</v>
      </c>
      <c r="L37" s="31" t="s">
        <v>304</v>
      </c>
      <c r="M37" s="31" t="s">
        <v>309</v>
      </c>
      <c r="N37" s="35" t="n">
        <v>46717</v>
      </c>
    </row>
    <row r="38" customFormat="false" ht="26.85" hidden="false" customHeight="false" outlineLevel="0" collapsed="false">
      <c r="A38" s="30" t="s">
        <v>310</v>
      </c>
      <c r="B38" s="31" t="s">
        <v>54</v>
      </c>
      <c r="C38" s="31" t="s">
        <v>311</v>
      </c>
      <c r="D38" s="32" t="s">
        <v>96</v>
      </c>
      <c r="E38" s="33" t="s">
        <v>34</v>
      </c>
      <c r="F38" s="31" t="s">
        <v>312</v>
      </c>
      <c r="G38" s="31" t="s">
        <v>123</v>
      </c>
      <c r="H38" s="32" t="n">
        <v>2</v>
      </c>
      <c r="I38" s="34" t="s">
        <v>39</v>
      </c>
      <c r="J38" s="31" t="s">
        <v>313</v>
      </c>
      <c r="K38" s="31" t="s">
        <v>314</v>
      </c>
      <c r="L38" s="31" t="s">
        <v>102</v>
      </c>
      <c r="M38" s="31" t="s">
        <v>152</v>
      </c>
      <c r="N38" s="35" t="n">
        <v>46444</v>
      </c>
    </row>
    <row r="39" customFormat="false" ht="26.85" hidden="false" customHeight="false" outlineLevel="0" collapsed="false">
      <c r="A39" s="30" t="s">
        <v>315</v>
      </c>
      <c r="B39" s="31" t="s">
        <v>55</v>
      </c>
      <c r="C39" s="31" t="s">
        <v>316</v>
      </c>
      <c r="D39" s="32" t="s">
        <v>96</v>
      </c>
      <c r="E39" s="33" t="s">
        <v>222</v>
      </c>
      <c r="F39" s="31" t="s">
        <v>317</v>
      </c>
      <c r="G39" s="31" t="s">
        <v>318</v>
      </c>
      <c r="H39" s="32" t="n">
        <v>1</v>
      </c>
      <c r="I39" s="34" t="s">
        <v>39</v>
      </c>
      <c r="J39" s="31" t="s">
        <v>319</v>
      </c>
      <c r="K39" s="31" t="s">
        <v>320</v>
      </c>
      <c r="L39" s="31" t="s">
        <v>321</v>
      </c>
      <c r="M39" s="31" t="s">
        <v>152</v>
      </c>
      <c r="N39" s="35" t="n">
        <v>46477</v>
      </c>
    </row>
    <row r="40" customFormat="false" ht="26.85" hidden="false" customHeight="false" outlineLevel="0" collapsed="false">
      <c r="A40" s="30" t="s">
        <v>322</v>
      </c>
      <c r="B40" s="31" t="s">
        <v>55</v>
      </c>
      <c r="C40" s="31" t="s">
        <v>323</v>
      </c>
      <c r="D40" s="32" t="s">
        <v>96</v>
      </c>
      <c r="E40" s="33" t="s">
        <v>106</v>
      </c>
      <c r="F40" s="31" t="s">
        <v>324</v>
      </c>
      <c r="G40" s="31" t="s">
        <v>318</v>
      </c>
      <c r="H40" s="32" t="n">
        <v>2</v>
      </c>
      <c r="I40" s="34" t="s">
        <v>39</v>
      </c>
      <c r="J40" s="31" t="s">
        <v>325</v>
      </c>
      <c r="K40" s="31" t="s">
        <v>326</v>
      </c>
      <c r="L40" s="31" t="s">
        <v>225</v>
      </c>
      <c r="M40" s="31" t="s">
        <v>152</v>
      </c>
      <c r="N40" s="35" t="n">
        <v>46568</v>
      </c>
    </row>
    <row r="41" customFormat="false" ht="26.85" hidden="false" customHeight="false" outlineLevel="0" collapsed="false">
      <c r="A41" s="30" t="s">
        <v>327</v>
      </c>
      <c r="B41" s="31" t="s">
        <v>55</v>
      </c>
      <c r="C41" s="31" t="s">
        <v>328</v>
      </c>
      <c r="D41" s="32" t="s">
        <v>96</v>
      </c>
      <c r="E41" s="33" t="s">
        <v>187</v>
      </c>
      <c r="F41" s="31" t="s">
        <v>329</v>
      </c>
      <c r="G41" s="31" t="s">
        <v>330</v>
      </c>
      <c r="H41" s="32" t="n">
        <v>1</v>
      </c>
      <c r="I41" s="34" t="s">
        <v>39</v>
      </c>
      <c r="J41" s="31" t="s">
        <v>331</v>
      </c>
      <c r="K41" s="31" t="s">
        <v>332</v>
      </c>
      <c r="L41" s="31" t="s">
        <v>333</v>
      </c>
      <c r="M41" s="31" t="s">
        <v>152</v>
      </c>
      <c r="N41" s="35" t="n">
        <v>46568</v>
      </c>
    </row>
    <row r="42" customFormat="false" ht="26.85" hidden="false" customHeight="false" outlineLevel="0" collapsed="false">
      <c r="A42" s="30" t="s">
        <v>334</v>
      </c>
      <c r="B42" s="31" t="s">
        <v>55</v>
      </c>
      <c r="C42" s="31" t="s">
        <v>335</v>
      </c>
      <c r="D42" s="32" t="s">
        <v>96</v>
      </c>
      <c r="E42" s="33" t="s">
        <v>106</v>
      </c>
      <c r="F42" s="31" t="s">
        <v>336</v>
      </c>
      <c r="G42" s="31" t="s">
        <v>318</v>
      </c>
      <c r="H42" s="32" t="n">
        <v>1</v>
      </c>
      <c r="I42" s="34" t="s">
        <v>41</v>
      </c>
      <c r="J42" s="31" t="s">
        <v>337</v>
      </c>
      <c r="K42" s="31" t="s">
        <v>326</v>
      </c>
      <c r="L42" s="31" t="s">
        <v>225</v>
      </c>
      <c r="M42" s="31" t="s">
        <v>152</v>
      </c>
      <c r="N42" s="35" t="n">
        <v>46568</v>
      </c>
    </row>
    <row r="43" customFormat="false" ht="26.85" hidden="false" customHeight="false" outlineLevel="0" collapsed="false">
      <c r="A43" s="30" t="s">
        <v>338</v>
      </c>
      <c r="B43" s="31" t="s">
        <v>55</v>
      </c>
      <c r="C43" s="31" t="s">
        <v>339</v>
      </c>
      <c r="D43" s="32" t="s">
        <v>96</v>
      </c>
      <c r="E43" s="33" t="s">
        <v>187</v>
      </c>
      <c r="F43" s="31" t="s">
        <v>340</v>
      </c>
      <c r="G43" s="31" t="s">
        <v>341</v>
      </c>
      <c r="H43" s="32" t="n">
        <v>1</v>
      </c>
      <c r="I43" s="34" t="s">
        <v>39</v>
      </c>
      <c r="J43" s="31" t="s">
        <v>342</v>
      </c>
      <c r="K43" s="31" t="s">
        <v>343</v>
      </c>
      <c r="L43" s="31" t="s">
        <v>344</v>
      </c>
      <c r="M43" s="31" t="s">
        <v>152</v>
      </c>
      <c r="N43" s="35" t="n">
        <v>46402</v>
      </c>
    </row>
    <row r="44" customFormat="false" ht="26.85" hidden="false" customHeight="false" outlineLevel="0" collapsed="false">
      <c r="A44" s="30" t="s">
        <v>345</v>
      </c>
      <c r="B44" s="31" t="s">
        <v>55</v>
      </c>
      <c r="C44" s="31" t="s">
        <v>346</v>
      </c>
      <c r="D44" s="32" t="s">
        <v>96</v>
      </c>
      <c r="E44" s="33" t="s">
        <v>32</v>
      </c>
      <c r="F44" s="31" t="s">
        <v>347</v>
      </c>
      <c r="G44" s="31" t="s">
        <v>123</v>
      </c>
      <c r="H44" s="32" t="n">
        <v>2</v>
      </c>
      <c r="I44" s="34" t="s">
        <v>39</v>
      </c>
      <c r="J44" s="31" t="s">
        <v>348</v>
      </c>
      <c r="K44" s="31" t="s">
        <v>326</v>
      </c>
      <c r="L44" s="31" t="s">
        <v>225</v>
      </c>
      <c r="M44" s="31" t="s">
        <v>152</v>
      </c>
      <c r="N44" s="35" t="n">
        <v>46568</v>
      </c>
    </row>
    <row r="45" customFormat="false" ht="26.85" hidden="false" customHeight="false" outlineLevel="0" collapsed="false">
      <c r="A45" s="30" t="s">
        <v>349</v>
      </c>
      <c r="B45" s="31" t="s">
        <v>55</v>
      </c>
      <c r="C45" s="31" t="s">
        <v>350</v>
      </c>
      <c r="D45" s="32" t="s">
        <v>96</v>
      </c>
      <c r="E45" s="33" t="s">
        <v>106</v>
      </c>
      <c r="F45" s="31" t="s">
        <v>351</v>
      </c>
      <c r="G45" s="31" t="s">
        <v>352</v>
      </c>
      <c r="H45" s="32" t="n">
        <v>2</v>
      </c>
      <c r="I45" s="34" t="s">
        <v>39</v>
      </c>
      <c r="J45" s="31" t="s">
        <v>353</v>
      </c>
      <c r="K45" s="31" t="s">
        <v>354</v>
      </c>
      <c r="L45" s="31" t="s">
        <v>151</v>
      </c>
      <c r="M45" s="31" t="s">
        <v>119</v>
      </c>
      <c r="N45" s="35" t="n">
        <v>46660</v>
      </c>
    </row>
    <row r="46" customFormat="false" ht="26.85" hidden="false" customHeight="false" outlineLevel="0" collapsed="false">
      <c r="A46" s="30" t="s">
        <v>355</v>
      </c>
      <c r="B46" s="31" t="s">
        <v>55</v>
      </c>
      <c r="C46" s="31" t="s">
        <v>356</v>
      </c>
      <c r="D46" s="32" t="s">
        <v>96</v>
      </c>
      <c r="E46" s="33" t="s">
        <v>106</v>
      </c>
      <c r="F46" s="31" t="s">
        <v>357</v>
      </c>
      <c r="G46" s="31" t="s">
        <v>358</v>
      </c>
      <c r="H46" s="32" t="n">
        <v>1</v>
      </c>
      <c r="I46" s="34" t="s">
        <v>41</v>
      </c>
      <c r="J46" s="31" t="s">
        <v>359</v>
      </c>
      <c r="K46" s="31" t="s">
        <v>360</v>
      </c>
      <c r="L46" s="31" t="s">
        <v>133</v>
      </c>
      <c r="M46" s="31" t="s">
        <v>119</v>
      </c>
      <c r="N46" s="35" t="n">
        <v>46477</v>
      </c>
    </row>
    <row r="47" customFormat="false" ht="26.85" hidden="false" customHeight="false" outlineLevel="0" collapsed="false">
      <c r="A47" s="30" t="s">
        <v>361</v>
      </c>
      <c r="B47" s="31" t="s">
        <v>56</v>
      </c>
      <c r="C47" s="31" t="s">
        <v>362</v>
      </c>
      <c r="D47" s="32" t="s">
        <v>96</v>
      </c>
      <c r="E47" s="33" t="s">
        <v>106</v>
      </c>
      <c r="F47" s="31" t="s">
        <v>363</v>
      </c>
      <c r="G47" s="31" t="s">
        <v>364</v>
      </c>
      <c r="H47" s="32" t="n">
        <v>2</v>
      </c>
      <c r="I47" s="34" t="s">
        <v>39</v>
      </c>
      <c r="J47" s="31" t="s">
        <v>365</v>
      </c>
      <c r="K47" s="31" t="s">
        <v>366</v>
      </c>
      <c r="L47" s="31" t="s">
        <v>151</v>
      </c>
      <c r="M47" s="31" t="s">
        <v>152</v>
      </c>
      <c r="N47" s="35" t="n">
        <v>46660</v>
      </c>
    </row>
    <row r="48" customFormat="false" ht="26.85" hidden="false" customHeight="false" outlineLevel="0" collapsed="false">
      <c r="A48" s="30" t="s">
        <v>367</v>
      </c>
      <c r="B48" s="31" t="s">
        <v>56</v>
      </c>
      <c r="C48" s="31" t="s">
        <v>368</v>
      </c>
      <c r="D48" s="32" t="s">
        <v>96</v>
      </c>
      <c r="E48" s="33" t="s">
        <v>106</v>
      </c>
      <c r="F48" s="31" t="s">
        <v>369</v>
      </c>
      <c r="G48" s="31" t="s">
        <v>364</v>
      </c>
      <c r="H48" s="32" t="n">
        <v>2</v>
      </c>
      <c r="I48" s="34" t="s">
        <v>39</v>
      </c>
      <c r="J48" s="31" t="s">
        <v>370</v>
      </c>
      <c r="K48" s="31" t="s">
        <v>371</v>
      </c>
      <c r="L48" s="31" t="s">
        <v>151</v>
      </c>
      <c r="M48" s="31" t="s">
        <v>152</v>
      </c>
      <c r="N48" s="35" t="n">
        <v>46660</v>
      </c>
    </row>
    <row r="49" customFormat="false" ht="23.85" hidden="false" customHeight="false" outlineLevel="0" collapsed="false">
      <c r="A49" s="30" t="s">
        <v>372</v>
      </c>
      <c r="B49" s="31" t="s">
        <v>56</v>
      </c>
      <c r="C49" s="31" t="s">
        <v>373</v>
      </c>
      <c r="D49" s="32" t="s">
        <v>96</v>
      </c>
      <c r="E49" s="33" t="s">
        <v>34</v>
      </c>
      <c r="F49" s="31" t="s">
        <v>374</v>
      </c>
      <c r="G49" s="31" t="s">
        <v>123</v>
      </c>
      <c r="H49" s="32" t="n">
        <v>3</v>
      </c>
      <c r="I49" s="34" t="s">
        <v>37</v>
      </c>
      <c r="J49" s="31" t="s">
        <v>375</v>
      </c>
      <c r="K49" s="31" t="s">
        <v>166</v>
      </c>
      <c r="L49" s="31" t="s">
        <v>167</v>
      </c>
      <c r="M49" s="31" t="s">
        <v>152</v>
      </c>
      <c r="N49" s="35" t="s">
        <v>168</v>
      </c>
    </row>
    <row r="50" customFormat="false" ht="26.85" hidden="false" customHeight="false" outlineLevel="0" collapsed="false">
      <c r="A50" s="30" t="s">
        <v>376</v>
      </c>
      <c r="B50" s="31" t="s">
        <v>56</v>
      </c>
      <c r="C50" s="31" t="s">
        <v>377</v>
      </c>
      <c r="D50" s="32" t="s">
        <v>96</v>
      </c>
      <c r="E50" s="33" t="s">
        <v>106</v>
      </c>
      <c r="F50" s="31" t="s">
        <v>378</v>
      </c>
      <c r="G50" s="31" t="s">
        <v>364</v>
      </c>
      <c r="H50" s="32" t="n">
        <v>0</v>
      </c>
      <c r="I50" s="34" t="s">
        <v>41</v>
      </c>
      <c r="J50" s="31" t="s">
        <v>379</v>
      </c>
      <c r="K50" s="31" t="s">
        <v>380</v>
      </c>
      <c r="L50" s="31" t="s">
        <v>381</v>
      </c>
      <c r="M50" s="31" t="s">
        <v>140</v>
      </c>
      <c r="N50" s="35" t="n">
        <v>46626</v>
      </c>
    </row>
    <row r="51" customFormat="false" ht="23.85" hidden="false" customHeight="false" outlineLevel="0" collapsed="false">
      <c r="A51" s="30" t="s">
        <v>382</v>
      </c>
      <c r="B51" s="31" t="s">
        <v>56</v>
      </c>
      <c r="C51" s="31" t="s">
        <v>383</v>
      </c>
      <c r="D51" s="32" t="s">
        <v>96</v>
      </c>
      <c r="E51" s="33" t="s">
        <v>34</v>
      </c>
      <c r="F51" s="31" t="s">
        <v>384</v>
      </c>
      <c r="G51" s="31" t="s">
        <v>123</v>
      </c>
      <c r="H51" s="32" t="n">
        <v>3</v>
      </c>
      <c r="I51" s="34" t="s">
        <v>37</v>
      </c>
      <c r="J51" s="31" t="s">
        <v>385</v>
      </c>
      <c r="K51" s="31" t="s">
        <v>166</v>
      </c>
      <c r="L51" s="31" t="s">
        <v>167</v>
      </c>
      <c r="M51" s="31" t="s">
        <v>152</v>
      </c>
      <c r="N51" s="35" t="s">
        <v>168</v>
      </c>
    </row>
    <row r="52" customFormat="false" ht="35.05" hidden="false" customHeight="false" outlineLevel="0" collapsed="false">
      <c r="A52" s="30" t="s">
        <v>386</v>
      </c>
      <c r="B52" s="31" t="s">
        <v>56</v>
      </c>
      <c r="C52" s="31" t="s">
        <v>387</v>
      </c>
      <c r="D52" s="32" t="s">
        <v>96</v>
      </c>
      <c r="E52" s="33" t="s">
        <v>34</v>
      </c>
      <c r="F52" s="31" t="s">
        <v>388</v>
      </c>
      <c r="G52" s="31" t="s">
        <v>123</v>
      </c>
      <c r="H52" s="32" t="n">
        <v>2</v>
      </c>
      <c r="I52" s="34" t="s">
        <v>39</v>
      </c>
      <c r="J52" s="31" t="s">
        <v>389</v>
      </c>
      <c r="K52" s="31" t="s">
        <v>380</v>
      </c>
      <c r="L52" s="31" t="s">
        <v>381</v>
      </c>
      <c r="M52" s="31" t="s">
        <v>140</v>
      </c>
      <c r="N52" s="35" t="n">
        <v>46626</v>
      </c>
    </row>
    <row r="53" customFormat="false" ht="26.85" hidden="false" customHeight="false" outlineLevel="0" collapsed="false">
      <c r="A53" s="30" t="s">
        <v>390</v>
      </c>
      <c r="B53" s="31" t="s">
        <v>56</v>
      </c>
      <c r="C53" s="31" t="s">
        <v>391</v>
      </c>
      <c r="D53" s="32" t="s">
        <v>96</v>
      </c>
      <c r="E53" s="33" t="s">
        <v>34</v>
      </c>
      <c r="F53" s="31" t="s">
        <v>392</v>
      </c>
      <c r="G53" s="31" t="s">
        <v>123</v>
      </c>
      <c r="H53" s="32" t="n">
        <v>1</v>
      </c>
      <c r="I53" s="34" t="s">
        <v>41</v>
      </c>
      <c r="J53" s="31" t="s">
        <v>393</v>
      </c>
      <c r="K53" s="31" t="s">
        <v>394</v>
      </c>
      <c r="L53" s="31" t="s">
        <v>151</v>
      </c>
      <c r="M53" s="31" t="s">
        <v>152</v>
      </c>
      <c r="N53" s="35" t="n">
        <v>46660</v>
      </c>
    </row>
    <row r="54" customFormat="false" ht="26.85" hidden="false" customHeight="false" outlineLevel="0" collapsed="false">
      <c r="A54" s="30" t="s">
        <v>395</v>
      </c>
      <c r="B54" s="31" t="s">
        <v>56</v>
      </c>
      <c r="C54" s="31" t="s">
        <v>396</v>
      </c>
      <c r="D54" s="32" t="s">
        <v>96</v>
      </c>
      <c r="E54" s="33" t="s">
        <v>106</v>
      </c>
      <c r="F54" s="31" t="s">
        <v>397</v>
      </c>
      <c r="G54" s="31" t="s">
        <v>364</v>
      </c>
      <c r="H54" s="32" t="n">
        <v>2</v>
      </c>
      <c r="I54" s="34" t="s">
        <v>39</v>
      </c>
      <c r="J54" s="31" t="s">
        <v>398</v>
      </c>
      <c r="K54" s="31" t="s">
        <v>380</v>
      </c>
      <c r="L54" s="31" t="s">
        <v>381</v>
      </c>
      <c r="M54" s="31" t="s">
        <v>140</v>
      </c>
      <c r="N54" s="35" t="n">
        <v>46626</v>
      </c>
    </row>
    <row r="55" customFormat="false" ht="23.85" hidden="false" customHeight="false" outlineLevel="0" collapsed="false">
      <c r="A55" s="30" t="s">
        <v>399</v>
      </c>
      <c r="B55" s="31" t="s">
        <v>56</v>
      </c>
      <c r="C55" s="31" t="s">
        <v>400</v>
      </c>
      <c r="D55" s="32" t="s">
        <v>96</v>
      </c>
      <c r="E55" s="33" t="s">
        <v>106</v>
      </c>
      <c r="F55" s="31" t="s">
        <v>401</v>
      </c>
      <c r="G55" s="31" t="s">
        <v>352</v>
      </c>
      <c r="H55" s="32" t="n">
        <v>3</v>
      </c>
      <c r="I55" s="34" t="s">
        <v>37</v>
      </c>
      <c r="J55" s="31" t="s">
        <v>402</v>
      </c>
      <c r="K55" s="31" t="s">
        <v>166</v>
      </c>
      <c r="L55" s="31" t="s">
        <v>167</v>
      </c>
      <c r="M55" s="31" t="s">
        <v>140</v>
      </c>
      <c r="N55" s="35" t="s">
        <v>168</v>
      </c>
    </row>
    <row r="56" customFormat="false" ht="26.85" hidden="false" customHeight="false" outlineLevel="0" collapsed="false">
      <c r="A56" s="30" t="s">
        <v>403</v>
      </c>
      <c r="B56" s="31" t="s">
        <v>56</v>
      </c>
      <c r="C56" s="31" t="s">
        <v>404</v>
      </c>
      <c r="D56" s="32" t="s">
        <v>96</v>
      </c>
      <c r="E56" s="33" t="s">
        <v>34</v>
      </c>
      <c r="F56" s="31" t="s">
        <v>405</v>
      </c>
      <c r="G56" s="31" t="s">
        <v>123</v>
      </c>
      <c r="H56" s="32" t="n">
        <v>1</v>
      </c>
      <c r="I56" s="34" t="s">
        <v>39</v>
      </c>
      <c r="J56" s="31" t="s">
        <v>406</v>
      </c>
      <c r="K56" s="31" t="s">
        <v>407</v>
      </c>
      <c r="L56" s="31" t="s">
        <v>151</v>
      </c>
      <c r="M56" s="31" t="s">
        <v>140</v>
      </c>
      <c r="N56" s="35" t="n">
        <v>46660</v>
      </c>
    </row>
    <row r="57" customFormat="false" ht="23.85" hidden="false" customHeight="false" outlineLevel="0" collapsed="false">
      <c r="A57" s="30" t="s">
        <v>408</v>
      </c>
      <c r="B57" s="31" t="s">
        <v>56</v>
      </c>
      <c r="C57" s="31" t="s">
        <v>409</v>
      </c>
      <c r="D57" s="32" t="s">
        <v>96</v>
      </c>
      <c r="E57" s="33" t="s">
        <v>34</v>
      </c>
      <c r="F57" s="31" t="s">
        <v>410</v>
      </c>
      <c r="G57" s="31" t="s">
        <v>123</v>
      </c>
      <c r="H57" s="32" t="n">
        <v>3</v>
      </c>
      <c r="I57" s="34" t="s">
        <v>37</v>
      </c>
      <c r="J57" s="31" t="s">
        <v>411</v>
      </c>
      <c r="K57" s="31" t="s">
        <v>166</v>
      </c>
      <c r="L57" s="31" t="s">
        <v>167</v>
      </c>
      <c r="M57" s="31" t="s">
        <v>140</v>
      </c>
      <c r="N57" s="35" t="s">
        <v>168</v>
      </c>
    </row>
    <row r="58" customFormat="false" ht="23.85" hidden="false" customHeight="false" outlineLevel="0" collapsed="false">
      <c r="A58" s="30" t="s">
        <v>412</v>
      </c>
      <c r="B58" s="31" t="s">
        <v>56</v>
      </c>
      <c r="C58" s="31" t="s">
        <v>413</v>
      </c>
      <c r="D58" s="32" t="s">
        <v>96</v>
      </c>
      <c r="E58" s="33" t="s">
        <v>34</v>
      </c>
      <c r="F58" s="31" t="s">
        <v>414</v>
      </c>
      <c r="G58" s="31" t="s">
        <v>123</v>
      </c>
      <c r="H58" s="32" t="n">
        <v>3</v>
      </c>
      <c r="I58" s="34" t="s">
        <v>37</v>
      </c>
      <c r="J58" s="31" t="s">
        <v>415</v>
      </c>
      <c r="K58" s="31" t="s">
        <v>166</v>
      </c>
      <c r="L58" s="31" t="s">
        <v>167</v>
      </c>
      <c r="M58" s="31" t="s">
        <v>140</v>
      </c>
      <c r="N58" s="35" t="s">
        <v>168</v>
      </c>
    </row>
    <row r="59" customFormat="false" ht="23.85" hidden="false" customHeight="false" outlineLevel="0" collapsed="false">
      <c r="A59" s="30" t="s">
        <v>416</v>
      </c>
      <c r="B59" s="31" t="s">
        <v>56</v>
      </c>
      <c r="C59" s="31" t="s">
        <v>417</v>
      </c>
      <c r="D59" s="32" t="s">
        <v>96</v>
      </c>
      <c r="E59" s="33" t="s">
        <v>34</v>
      </c>
      <c r="F59" s="31" t="s">
        <v>418</v>
      </c>
      <c r="G59" s="31" t="s">
        <v>123</v>
      </c>
      <c r="H59" s="32" t="n">
        <v>3</v>
      </c>
      <c r="I59" s="34" t="s">
        <v>37</v>
      </c>
      <c r="J59" s="31" t="s">
        <v>419</v>
      </c>
      <c r="K59" s="31" t="s">
        <v>166</v>
      </c>
      <c r="L59" s="31" t="s">
        <v>167</v>
      </c>
      <c r="M59" s="31" t="s">
        <v>140</v>
      </c>
      <c r="N59" s="35" t="s">
        <v>168</v>
      </c>
    </row>
    <row r="60" customFormat="false" ht="26.85" hidden="false" customHeight="false" outlineLevel="0" collapsed="false">
      <c r="A60" s="30" t="s">
        <v>420</v>
      </c>
      <c r="B60" s="31" t="s">
        <v>56</v>
      </c>
      <c r="C60" s="31" t="s">
        <v>421</v>
      </c>
      <c r="D60" s="32" t="s">
        <v>96</v>
      </c>
      <c r="E60" s="33" t="s">
        <v>30</v>
      </c>
      <c r="F60" s="31" t="s">
        <v>422</v>
      </c>
      <c r="G60" s="31" t="s">
        <v>123</v>
      </c>
      <c r="H60" s="32" t="n">
        <v>1</v>
      </c>
      <c r="I60" s="34" t="s">
        <v>39</v>
      </c>
      <c r="J60" s="31" t="s">
        <v>423</v>
      </c>
      <c r="K60" s="31" t="s">
        <v>407</v>
      </c>
      <c r="L60" s="31" t="s">
        <v>151</v>
      </c>
      <c r="M60" s="31" t="s">
        <v>140</v>
      </c>
      <c r="N60" s="35" t="n">
        <v>46660</v>
      </c>
    </row>
    <row r="61" customFormat="false" ht="23.85" hidden="false" customHeight="false" outlineLevel="0" collapsed="false">
      <c r="A61" s="30" t="s">
        <v>424</v>
      </c>
      <c r="B61" s="31" t="s">
        <v>57</v>
      </c>
      <c r="C61" s="31" t="s">
        <v>425</v>
      </c>
      <c r="D61" s="32" t="s">
        <v>96</v>
      </c>
      <c r="E61" s="33" t="s">
        <v>106</v>
      </c>
      <c r="F61" s="31" t="s">
        <v>426</v>
      </c>
      <c r="G61" s="31" t="s">
        <v>352</v>
      </c>
      <c r="H61" s="32" t="n">
        <v>3</v>
      </c>
      <c r="I61" s="34" t="s">
        <v>37</v>
      </c>
      <c r="J61" s="31" t="s">
        <v>427</v>
      </c>
      <c r="K61" s="31" t="s">
        <v>166</v>
      </c>
      <c r="L61" s="31" t="s">
        <v>167</v>
      </c>
      <c r="M61" s="31" t="s">
        <v>140</v>
      </c>
      <c r="N61" s="35" t="s">
        <v>168</v>
      </c>
    </row>
    <row r="62" customFormat="false" ht="26.85" hidden="false" customHeight="false" outlineLevel="0" collapsed="false">
      <c r="A62" s="30" t="s">
        <v>428</v>
      </c>
      <c r="B62" s="31" t="s">
        <v>57</v>
      </c>
      <c r="C62" s="31" t="s">
        <v>429</v>
      </c>
      <c r="D62" s="32" t="s">
        <v>96</v>
      </c>
      <c r="E62" s="33" t="s">
        <v>187</v>
      </c>
      <c r="F62" s="31" t="s">
        <v>430</v>
      </c>
      <c r="G62" s="31" t="s">
        <v>431</v>
      </c>
      <c r="H62" s="32" t="n">
        <v>1</v>
      </c>
      <c r="I62" s="34" t="s">
        <v>39</v>
      </c>
      <c r="J62" s="31" t="s">
        <v>432</v>
      </c>
      <c r="K62" s="31" t="s">
        <v>191</v>
      </c>
      <c r="L62" s="31" t="s">
        <v>433</v>
      </c>
      <c r="M62" s="31" t="s">
        <v>119</v>
      </c>
      <c r="N62" s="35" t="n">
        <v>46507</v>
      </c>
    </row>
    <row r="63" customFormat="false" ht="23.85" hidden="false" customHeight="false" outlineLevel="0" collapsed="false">
      <c r="A63" s="30" t="s">
        <v>434</v>
      </c>
      <c r="B63" s="31" t="s">
        <v>57</v>
      </c>
      <c r="C63" s="31" t="s">
        <v>435</v>
      </c>
      <c r="D63" s="32" t="s">
        <v>96</v>
      </c>
      <c r="E63" s="33" t="s">
        <v>106</v>
      </c>
      <c r="F63" s="31" t="s">
        <v>436</v>
      </c>
      <c r="G63" s="31" t="s">
        <v>437</v>
      </c>
      <c r="H63" s="32" t="n">
        <v>3</v>
      </c>
      <c r="I63" s="34" t="s">
        <v>37</v>
      </c>
      <c r="J63" s="31" t="s">
        <v>438</v>
      </c>
      <c r="K63" s="31" t="s">
        <v>166</v>
      </c>
      <c r="L63" s="31" t="s">
        <v>167</v>
      </c>
      <c r="M63" s="31" t="s">
        <v>119</v>
      </c>
      <c r="N63" s="35" t="s">
        <v>168</v>
      </c>
    </row>
    <row r="64" customFormat="false" ht="26.85" hidden="false" customHeight="false" outlineLevel="0" collapsed="false">
      <c r="A64" s="30" t="s">
        <v>439</v>
      </c>
      <c r="B64" s="31" t="s">
        <v>57</v>
      </c>
      <c r="C64" s="31" t="s">
        <v>440</v>
      </c>
      <c r="D64" s="32" t="s">
        <v>96</v>
      </c>
      <c r="E64" s="33" t="s">
        <v>34</v>
      </c>
      <c r="F64" s="31" t="s">
        <v>441</v>
      </c>
      <c r="G64" s="31" t="s">
        <v>123</v>
      </c>
      <c r="H64" s="32" t="n">
        <v>1</v>
      </c>
      <c r="I64" s="34" t="s">
        <v>41</v>
      </c>
      <c r="J64" s="31" t="s">
        <v>442</v>
      </c>
      <c r="K64" s="31" t="s">
        <v>443</v>
      </c>
      <c r="L64" s="31" t="s">
        <v>444</v>
      </c>
      <c r="M64" s="31" t="s">
        <v>140</v>
      </c>
      <c r="N64" s="35" t="n">
        <v>46507</v>
      </c>
    </row>
    <row r="65" customFormat="false" ht="26.85" hidden="false" customHeight="false" outlineLevel="0" collapsed="false">
      <c r="A65" s="30" t="s">
        <v>445</v>
      </c>
      <c r="B65" s="31" t="s">
        <v>57</v>
      </c>
      <c r="C65" s="31" t="s">
        <v>446</v>
      </c>
      <c r="D65" s="32" t="s">
        <v>96</v>
      </c>
      <c r="E65" s="33" t="s">
        <v>187</v>
      </c>
      <c r="F65" s="31" t="s">
        <v>447</v>
      </c>
      <c r="G65" s="31" t="s">
        <v>202</v>
      </c>
      <c r="H65" s="32" t="n">
        <v>1</v>
      </c>
      <c r="I65" s="34" t="s">
        <v>39</v>
      </c>
      <c r="J65" s="31" t="s">
        <v>448</v>
      </c>
      <c r="K65" s="31" t="s">
        <v>449</v>
      </c>
      <c r="L65" s="31" t="s">
        <v>205</v>
      </c>
      <c r="M65" s="31" t="s">
        <v>119</v>
      </c>
      <c r="N65" s="35" t="n">
        <v>46332</v>
      </c>
    </row>
    <row r="66" customFormat="false" ht="26.85" hidden="false" customHeight="false" outlineLevel="0" collapsed="false">
      <c r="A66" s="30" t="s">
        <v>450</v>
      </c>
      <c r="B66" s="31" t="s">
        <v>57</v>
      </c>
      <c r="C66" s="31" t="s">
        <v>451</v>
      </c>
      <c r="D66" s="32" t="s">
        <v>96</v>
      </c>
      <c r="E66" s="33" t="s">
        <v>34</v>
      </c>
      <c r="F66" s="31" t="s">
        <v>452</v>
      </c>
      <c r="G66" s="31" t="s">
        <v>123</v>
      </c>
      <c r="H66" s="32" t="n">
        <v>2</v>
      </c>
      <c r="I66" s="34" t="s">
        <v>39</v>
      </c>
      <c r="J66" s="31" t="s">
        <v>453</v>
      </c>
      <c r="K66" s="31" t="s">
        <v>454</v>
      </c>
      <c r="L66" s="31" t="s">
        <v>151</v>
      </c>
      <c r="M66" s="31" t="s">
        <v>140</v>
      </c>
      <c r="N66" s="35" t="n">
        <v>46660</v>
      </c>
    </row>
    <row r="67" customFormat="false" ht="23.85" hidden="false" customHeight="false" outlineLevel="0" collapsed="false">
      <c r="A67" s="30" t="s">
        <v>455</v>
      </c>
      <c r="B67" s="31" t="s">
        <v>57</v>
      </c>
      <c r="C67" s="31" t="s">
        <v>456</v>
      </c>
      <c r="D67" s="32" t="s">
        <v>96</v>
      </c>
      <c r="E67" s="33" t="s">
        <v>106</v>
      </c>
      <c r="F67" s="31" t="s">
        <v>457</v>
      </c>
      <c r="G67" s="31" t="s">
        <v>458</v>
      </c>
      <c r="H67" s="32" t="n">
        <v>3</v>
      </c>
      <c r="I67" s="34" t="s">
        <v>37</v>
      </c>
      <c r="J67" s="31" t="s">
        <v>459</v>
      </c>
      <c r="K67" s="31" t="s">
        <v>166</v>
      </c>
      <c r="L67" s="31" t="s">
        <v>167</v>
      </c>
      <c r="M67" s="31" t="s">
        <v>140</v>
      </c>
      <c r="N67" s="35" t="s">
        <v>168</v>
      </c>
    </row>
    <row r="68" customFormat="false" ht="26.85" hidden="false" customHeight="false" outlineLevel="0" collapsed="false">
      <c r="A68" s="30" t="s">
        <v>460</v>
      </c>
      <c r="B68" s="31" t="s">
        <v>57</v>
      </c>
      <c r="C68" s="31" t="s">
        <v>461</v>
      </c>
      <c r="D68" s="32" t="s">
        <v>96</v>
      </c>
      <c r="E68" s="33" t="s">
        <v>187</v>
      </c>
      <c r="F68" s="31" t="s">
        <v>462</v>
      </c>
      <c r="G68" s="31" t="s">
        <v>463</v>
      </c>
      <c r="H68" s="32" t="n">
        <v>2</v>
      </c>
      <c r="I68" s="34" t="s">
        <v>39</v>
      </c>
      <c r="J68" s="31" t="s">
        <v>464</v>
      </c>
      <c r="K68" s="31" t="s">
        <v>465</v>
      </c>
      <c r="L68" s="31" t="s">
        <v>466</v>
      </c>
      <c r="M68" s="31" t="s">
        <v>140</v>
      </c>
      <c r="N68" s="35" t="n">
        <v>46598</v>
      </c>
    </row>
    <row r="69" customFormat="false" ht="23.85" hidden="false" customHeight="false" outlineLevel="0" collapsed="false">
      <c r="A69" s="30" t="s">
        <v>467</v>
      </c>
      <c r="B69" s="31" t="s">
        <v>57</v>
      </c>
      <c r="C69" s="31" t="s">
        <v>468</v>
      </c>
      <c r="D69" s="32" t="s">
        <v>96</v>
      </c>
      <c r="E69" s="33" t="s">
        <v>34</v>
      </c>
      <c r="F69" s="31" t="s">
        <v>469</v>
      </c>
      <c r="G69" s="31" t="s">
        <v>123</v>
      </c>
      <c r="H69" s="32" t="n">
        <v>3</v>
      </c>
      <c r="I69" s="34" t="s">
        <v>37</v>
      </c>
      <c r="J69" s="31" t="s">
        <v>470</v>
      </c>
      <c r="K69" s="31" t="s">
        <v>166</v>
      </c>
      <c r="L69" s="31" t="s">
        <v>167</v>
      </c>
      <c r="M69" s="31" t="s">
        <v>140</v>
      </c>
      <c r="N69" s="35" t="s">
        <v>168</v>
      </c>
    </row>
    <row r="70" customFormat="false" ht="26.85" hidden="false" customHeight="false" outlineLevel="0" collapsed="false">
      <c r="A70" s="30" t="s">
        <v>471</v>
      </c>
      <c r="B70" s="31" t="s">
        <v>57</v>
      </c>
      <c r="C70" s="31" t="s">
        <v>472</v>
      </c>
      <c r="D70" s="32" t="s">
        <v>96</v>
      </c>
      <c r="E70" s="33" t="s">
        <v>30</v>
      </c>
      <c r="F70" s="31" t="s">
        <v>473</v>
      </c>
      <c r="G70" s="31" t="s">
        <v>123</v>
      </c>
      <c r="H70" s="32" t="n">
        <v>2</v>
      </c>
      <c r="I70" s="34" t="s">
        <v>39</v>
      </c>
      <c r="J70" s="31" t="s">
        <v>474</v>
      </c>
      <c r="K70" s="31" t="s">
        <v>150</v>
      </c>
      <c r="L70" s="31" t="s">
        <v>151</v>
      </c>
      <c r="M70" s="31" t="s">
        <v>119</v>
      </c>
      <c r="N70" s="35" t="n">
        <v>46660</v>
      </c>
    </row>
    <row r="71" customFormat="false" ht="26.85" hidden="false" customHeight="false" outlineLevel="0" collapsed="false">
      <c r="A71" s="30" t="s">
        <v>475</v>
      </c>
      <c r="B71" s="31" t="s">
        <v>57</v>
      </c>
      <c r="C71" s="31" t="s">
        <v>476</v>
      </c>
      <c r="D71" s="32" t="s">
        <v>96</v>
      </c>
      <c r="E71" s="33" t="s">
        <v>30</v>
      </c>
      <c r="F71" s="31" t="s">
        <v>477</v>
      </c>
      <c r="G71" s="31" t="s">
        <v>123</v>
      </c>
      <c r="H71" s="32" t="n">
        <v>1</v>
      </c>
      <c r="I71" s="34" t="s">
        <v>41</v>
      </c>
      <c r="J71" s="31" t="s">
        <v>478</v>
      </c>
      <c r="K71" s="31" t="s">
        <v>150</v>
      </c>
      <c r="L71" s="31" t="s">
        <v>151</v>
      </c>
      <c r="M71" s="31" t="s">
        <v>119</v>
      </c>
      <c r="N71" s="35" t="n">
        <v>46660</v>
      </c>
    </row>
    <row r="72" customFormat="false" ht="26.85" hidden="false" customHeight="false" outlineLevel="0" collapsed="false">
      <c r="A72" s="30" t="s">
        <v>479</v>
      </c>
      <c r="B72" s="31" t="s">
        <v>57</v>
      </c>
      <c r="C72" s="31" t="s">
        <v>480</v>
      </c>
      <c r="D72" s="32" t="s">
        <v>96</v>
      </c>
      <c r="E72" s="33" t="s">
        <v>128</v>
      </c>
      <c r="F72" s="31" t="s">
        <v>481</v>
      </c>
      <c r="G72" s="31" t="s">
        <v>482</v>
      </c>
      <c r="H72" s="32" t="n">
        <v>1</v>
      </c>
      <c r="I72" s="34" t="s">
        <v>41</v>
      </c>
      <c r="J72" s="31" t="s">
        <v>483</v>
      </c>
      <c r="K72" s="31" t="s">
        <v>484</v>
      </c>
      <c r="L72" s="31" t="s">
        <v>485</v>
      </c>
      <c r="M72" s="31" t="s">
        <v>119</v>
      </c>
      <c r="N72" s="35" t="n">
        <v>46660</v>
      </c>
    </row>
    <row r="73" customFormat="false" ht="26.85" hidden="false" customHeight="false" outlineLevel="0" collapsed="false">
      <c r="A73" s="30" t="s">
        <v>486</v>
      </c>
      <c r="B73" s="31" t="s">
        <v>57</v>
      </c>
      <c r="C73" s="31" t="s">
        <v>487</v>
      </c>
      <c r="D73" s="32" t="s">
        <v>96</v>
      </c>
      <c r="E73" s="33" t="s">
        <v>187</v>
      </c>
      <c r="F73" s="31" t="s">
        <v>488</v>
      </c>
      <c r="G73" s="31" t="s">
        <v>489</v>
      </c>
      <c r="H73" s="32" t="n">
        <v>2</v>
      </c>
      <c r="I73" s="34" t="s">
        <v>39</v>
      </c>
      <c r="J73" s="31" t="s">
        <v>490</v>
      </c>
      <c r="K73" s="31" t="s">
        <v>491</v>
      </c>
      <c r="L73" s="31" t="s">
        <v>492</v>
      </c>
      <c r="M73" s="31" t="s">
        <v>140</v>
      </c>
      <c r="N73" s="35" t="n">
        <v>46416</v>
      </c>
    </row>
    <row r="74" customFormat="false" ht="23.85" hidden="false" customHeight="false" outlineLevel="0" collapsed="false">
      <c r="A74" s="30" t="s">
        <v>493</v>
      </c>
      <c r="B74" s="31" t="s">
        <v>57</v>
      </c>
      <c r="C74" s="31" t="s">
        <v>494</v>
      </c>
      <c r="D74" s="32" t="s">
        <v>96</v>
      </c>
      <c r="E74" s="33" t="s">
        <v>187</v>
      </c>
      <c r="F74" s="31" t="s">
        <v>495</v>
      </c>
      <c r="G74" s="31" t="s">
        <v>489</v>
      </c>
      <c r="H74" s="32" t="n">
        <v>3</v>
      </c>
      <c r="I74" s="34" t="s">
        <v>37</v>
      </c>
      <c r="J74" s="31" t="s">
        <v>496</v>
      </c>
      <c r="K74" s="31" t="s">
        <v>166</v>
      </c>
      <c r="L74" s="31" t="s">
        <v>167</v>
      </c>
      <c r="M74" s="31" t="s">
        <v>140</v>
      </c>
      <c r="N74" s="35" t="s">
        <v>168</v>
      </c>
    </row>
    <row r="75" customFormat="false" ht="26.85" hidden="false" customHeight="false" outlineLevel="0" collapsed="false">
      <c r="A75" s="30" t="s">
        <v>497</v>
      </c>
      <c r="B75" s="31" t="s">
        <v>57</v>
      </c>
      <c r="C75" s="31" t="s">
        <v>498</v>
      </c>
      <c r="D75" s="32" t="s">
        <v>96</v>
      </c>
      <c r="E75" s="33" t="s">
        <v>106</v>
      </c>
      <c r="F75" s="31" t="s">
        <v>499</v>
      </c>
      <c r="G75" s="31" t="s">
        <v>500</v>
      </c>
      <c r="H75" s="32" t="n">
        <v>2</v>
      </c>
      <c r="I75" s="34" t="s">
        <v>39</v>
      </c>
      <c r="J75" s="31" t="s">
        <v>501</v>
      </c>
      <c r="K75" s="31" t="s">
        <v>502</v>
      </c>
      <c r="L75" s="31" t="s">
        <v>503</v>
      </c>
      <c r="M75" s="31" t="s">
        <v>140</v>
      </c>
      <c r="N75" s="35" t="n">
        <v>46626</v>
      </c>
    </row>
    <row r="76" customFormat="false" ht="26.85" hidden="false" customHeight="false" outlineLevel="0" collapsed="false">
      <c r="A76" s="30" t="s">
        <v>504</v>
      </c>
      <c r="B76" s="31" t="s">
        <v>57</v>
      </c>
      <c r="C76" s="31" t="s">
        <v>505</v>
      </c>
      <c r="D76" s="32" t="s">
        <v>96</v>
      </c>
      <c r="E76" s="33" t="s">
        <v>106</v>
      </c>
      <c r="F76" s="31" t="s">
        <v>506</v>
      </c>
      <c r="G76" s="31" t="s">
        <v>507</v>
      </c>
      <c r="H76" s="32" t="n">
        <v>1</v>
      </c>
      <c r="I76" s="34" t="s">
        <v>41</v>
      </c>
      <c r="J76" s="31" t="s">
        <v>508</v>
      </c>
      <c r="K76" s="31" t="s">
        <v>502</v>
      </c>
      <c r="L76" s="31" t="s">
        <v>509</v>
      </c>
      <c r="M76" s="31" t="s">
        <v>140</v>
      </c>
      <c r="N76" s="35" t="n">
        <v>46660</v>
      </c>
    </row>
    <row r="77" customFormat="false" ht="23.85" hidden="false" customHeight="false" outlineLevel="0" collapsed="false">
      <c r="A77" s="30" t="s">
        <v>510</v>
      </c>
      <c r="B77" s="31" t="s">
        <v>57</v>
      </c>
      <c r="C77" s="31" t="s">
        <v>511</v>
      </c>
      <c r="D77" s="32" t="s">
        <v>96</v>
      </c>
      <c r="E77" s="33" t="s">
        <v>34</v>
      </c>
      <c r="F77" s="31" t="s">
        <v>512</v>
      </c>
      <c r="G77" s="31" t="s">
        <v>123</v>
      </c>
      <c r="H77" s="32" t="n">
        <v>3</v>
      </c>
      <c r="I77" s="34" t="s">
        <v>37</v>
      </c>
      <c r="J77" s="31" t="s">
        <v>513</v>
      </c>
      <c r="K77" s="31" t="s">
        <v>166</v>
      </c>
      <c r="L77" s="31" t="s">
        <v>167</v>
      </c>
      <c r="M77" s="31" t="s">
        <v>140</v>
      </c>
      <c r="N77" s="35" t="s">
        <v>168</v>
      </c>
    </row>
    <row r="78" customFormat="false" ht="26.85" hidden="false" customHeight="false" outlineLevel="0" collapsed="false">
      <c r="A78" s="30" t="s">
        <v>514</v>
      </c>
      <c r="B78" s="31" t="s">
        <v>57</v>
      </c>
      <c r="C78" s="31" t="s">
        <v>515</v>
      </c>
      <c r="D78" s="32" t="s">
        <v>96</v>
      </c>
      <c r="E78" s="33" t="s">
        <v>34</v>
      </c>
      <c r="F78" s="31" t="s">
        <v>516</v>
      </c>
      <c r="G78" s="31" t="s">
        <v>123</v>
      </c>
      <c r="H78" s="32" t="n">
        <v>2</v>
      </c>
      <c r="I78" s="34" t="s">
        <v>39</v>
      </c>
      <c r="J78" s="31" t="s">
        <v>517</v>
      </c>
      <c r="K78" s="31" t="s">
        <v>117</v>
      </c>
      <c r="L78" s="31" t="s">
        <v>118</v>
      </c>
      <c r="M78" s="31" t="s">
        <v>140</v>
      </c>
      <c r="N78" s="35" t="n">
        <v>46477</v>
      </c>
    </row>
    <row r="79" customFormat="false" ht="23.85" hidden="false" customHeight="false" outlineLevel="0" collapsed="false">
      <c r="A79" s="30" t="s">
        <v>518</v>
      </c>
      <c r="B79" s="31" t="s">
        <v>57</v>
      </c>
      <c r="C79" s="31" t="s">
        <v>519</v>
      </c>
      <c r="D79" s="32" t="s">
        <v>96</v>
      </c>
      <c r="E79" s="33" t="s">
        <v>34</v>
      </c>
      <c r="F79" s="31" t="s">
        <v>520</v>
      </c>
      <c r="G79" s="31" t="s">
        <v>123</v>
      </c>
      <c r="H79" s="32" t="n">
        <v>3</v>
      </c>
      <c r="I79" s="34" t="s">
        <v>37</v>
      </c>
      <c r="J79" s="31" t="s">
        <v>521</v>
      </c>
      <c r="K79" s="31" t="s">
        <v>166</v>
      </c>
      <c r="L79" s="31" t="s">
        <v>167</v>
      </c>
      <c r="M79" s="31" t="s">
        <v>140</v>
      </c>
      <c r="N79" s="35" t="s">
        <v>168</v>
      </c>
    </row>
    <row r="80" customFormat="false" ht="26.85" hidden="false" customHeight="false" outlineLevel="0" collapsed="false">
      <c r="A80" s="30" t="s">
        <v>522</v>
      </c>
      <c r="B80" s="31" t="s">
        <v>57</v>
      </c>
      <c r="C80" s="31" t="s">
        <v>523</v>
      </c>
      <c r="D80" s="32" t="s">
        <v>96</v>
      </c>
      <c r="E80" s="33" t="s">
        <v>106</v>
      </c>
      <c r="F80" s="31" t="s">
        <v>524</v>
      </c>
      <c r="G80" s="31" t="s">
        <v>525</v>
      </c>
      <c r="H80" s="32" t="n">
        <v>2</v>
      </c>
      <c r="I80" s="34" t="s">
        <v>39</v>
      </c>
      <c r="J80" s="31" t="s">
        <v>526</v>
      </c>
      <c r="K80" s="31" t="s">
        <v>527</v>
      </c>
      <c r="L80" s="31" t="s">
        <v>528</v>
      </c>
      <c r="M80" s="31" t="s">
        <v>140</v>
      </c>
      <c r="N80" s="35" t="n">
        <v>46535</v>
      </c>
    </row>
    <row r="81" customFormat="false" ht="26.85" hidden="false" customHeight="false" outlineLevel="0" collapsed="false">
      <c r="A81" s="30" t="s">
        <v>529</v>
      </c>
      <c r="B81" s="31" t="s">
        <v>57</v>
      </c>
      <c r="C81" s="31" t="s">
        <v>530</v>
      </c>
      <c r="D81" s="32" t="s">
        <v>96</v>
      </c>
      <c r="E81" s="33" t="s">
        <v>106</v>
      </c>
      <c r="F81" s="31" t="s">
        <v>531</v>
      </c>
      <c r="G81" s="31" t="s">
        <v>532</v>
      </c>
      <c r="H81" s="32" t="n">
        <v>2</v>
      </c>
      <c r="I81" s="34" t="s">
        <v>39</v>
      </c>
      <c r="J81" s="31" t="s">
        <v>533</v>
      </c>
      <c r="K81" s="31" t="s">
        <v>150</v>
      </c>
      <c r="L81" s="31" t="s">
        <v>151</v>
      </c>
      <c r="M81" s="31" t="s">
        <v>140</v>
      </c>
      <c r="N81" s="35" t="n">
        <v>46660</v>
      </c>
    </row>
    <row r="82" customFormat="false" ht="26.85" hidden="false" customHeight="false" outlineLevel="0" collapsed="false">
      <c r="A82" s="30" t="s">
        <v>534</v>
      </c>
      <c r="B82" s="31" t="s">
        <v>57</v>
      </c>
      <c r="C82" s="31" t="s">
        <v>535</v>
      </c>
      <c r="D82" s="32" t="s">
        <v>96</v>
      </c>
      <c r="E82" s="33" t="s">
        <v>106</v>
      </c>
      <c r="F82" s="31" t="s">
        <v>536</v>
      </c>
      <c r="G82" s="31" t="s">
        <v>525</v>
      </c>
      <c r="H82" s="32" t="n">
        <v>1</v>
      </c>
      <c r="I82" s="34" t="s">
        <v>41</v>
      </c>
      <c r="J82" s="31" t="s">
        <v>537</v>
      </c>
      <c r="K82" s="31" t="s">
        <v>527</v>
      </c>
      <c r="L82" s="31" t="s">
        <v>528</v>
      </c>
      <c r="M82" s="31" t="s">
        <v>140</v>
      </c>
      <c r="N82" s="35" t="n">
        <v>46535</v>
      </c>
    </row>
    <row r="83" customFormat="false" ht="26.85" hidden="false" customHeight="false" outlineLevel="0" collapsed="false">
      <c r="A83" s="30" t="s">
        <v>538</v>
      </c>
      <c r="B83" s="31" t="s">
        <v>57</v>
      </c>
      <c r="C83" s="31" t="s">
        <v>539</v>
      </c>
      <c r="D83" s="32" t="s">
        <v>96</v>
      </c>
      <c r="E83" s="33" t="s">
        <v>106</v>
      </c>
      <c r="F83" s="31" t="s">
        <v>540</v>
      </c>
      <c r="G83" s="31" t="s">
        <v>330</v>
      </c>
      <c r="H83" s="32" t="n">
        <v>1</v>
      </c>
      <c r="I83" s="34" t="s">
        <v>41</v>
      </c>
      <c r="J83" s="31" t="s">
        <v>541</v>
      </c>
      <c r="K83" s="31" t="s">
        <v>542</v>
      </c>
      <c r="L83" s="31" t="s">
        <v>333</v>
      </c>
      <c r="M83" s="31" t="s">
        <v>140</v>
      </c>
      <c r="N83" s="35" t="n">
        <v>46568</v>
      </c>
    </row>
    <row r="84" customFormat="false" ht="26.85" hidden="false" customHeight="false" outlineLevel="0" collapsed="false">
      <c r="A84" s="30" t="s">
        <v>543</v>
      </c>
      <c r="B84" s="31" t="s">
        <v>57</v>
      </c>
      <c r="C84" s="31" t="s">
        <v>544</v>
      </c>
      <c r="D84" s="32" t="s">
        <v>96</v>
      </c>
      <c r="E84" s="33" t="s">
        <v>182</v>
      </c>
      <c r="F84" s="31" t="s">
        <v>545</v>
      </c>
      <c r="G84" s="31" t="s">
        <v>123</v>
      </c>
      <c r="H84" s="32" t="n">
        <v>2</v>
      </c>
      <c r="I84" s="34" t="s">
        <v>39</v>
      </c>
      <c r="J84" s="31" t="s">
        <v>546</v>
      </c>
      <c r="K84" s="31" t="s">
        <v>547</v>
      </c>
      <c r="L84" s="31" t="s">
        <v>151</v>
      </c>
      <c r="M84" s="31" t="s">
        <v>119</v>
      </c>
      <c r="N84" s="35" t="n">
        <v>46660</v>
      </c>
    </row>
    <row r="85" customFormat="false" ht="26.85" hidden="false" customHeight="false" outlineLevel="0" collapsed="false">
      <c r="A85" s="30" t="s">
        <v>548</v>
      </c>
      <c r="B85" s="31" t="s">
        <v>57</v>
      </c>
      <c r="C85" s="31" t="s">
        <v>549</v>
      </c>
      <c r="D85" s="32" t="s">
        <v>96</v>
      </c>
      <c r="E85" s="33" t="s">
        <v>106</v>
      </c>
      <c r="F85" s="31" t="s">
        <v>550</v>
      </c>
      <c r="G85" s="31" t="s">
        <v>551</v>
      </c>
      <c r="H85" s="32" t="n">
        <v>1</v>
      </c>
      <c r="I85" s="34" t="s">
        <v>41</v>
      </c>
      <c r="J85" s="31" t="s">
        <v>552</v>
      </c>
      <c r="K85" s="31" t="s">
        <v>443</v>
      </c>
      <c r="L85" s="31" t="s">
        <v>444</v>
      </c>
      <c r="M85" s="31" t="s">
        <v>140</v>
      </c>
      <c r="N85" s="35" t="n">
        <v>46507</v>
      </c>
    </row>
    <row r="86" customFormat="false" ht="26.85" hidden="false" customHeight="false" outlineLevel="0" collapsed="false">
      <c r="A86" s="30" t="s">
        <v>553</v>
      </c>
      <c r="B86" s="31" t="s">
        <v>57</v>
      </c>
      <c r="C86" s="31" t="s">
        <v>554</v>
      </c>
      <c r="D86" s="32" t="s">
        <v>96</v>
      </c>
      <c r="E86" s="33" t="s">
        <v>34</v>
      </c>
      <c r="F86" s="31" t="s">
        <v>555</v>
      </c>
      <c r="G86" s="31" t="s">
        <v>123</v>
      </c>
      <c r="H86" s="32" t="n">
        <v>1</v>
      </c>
      <c r="I86" s="34" t="s">
        <v>41</v>
      </c>
      <c r="J86" s="31" t="s">
        <v>556</v>
      </c>
      <c r="K86" s="31" t="s">
        <v>239</v>
      </c>
      <c r="L86" s="31" t="s">
        <v>151</v>
      </c>
      <c r="M86" s="31" t="s">
        <v>119</v>
      </c>
      <c r="N86" s="35" t="n">
        <v>46660</v>
      </c>
    </row>
    <row r="87" customFormat="false" ht="23.85" hidden="false" customHeight="false" outlineLevel="0" collapsed="false">
      <c r="A87" s="30" t="s">
        <v>557</v>
      </c>
      <c r="B87" s="31" t="s">
        <v>57</v>
      </c>
      <c r="C87" s="31" t="s">
        <v>558</v>
      </c>
      <c r="D87" s="32" t="s">
        <v>96</v>
      </c>
      <c r="E87" s="33" t="s">
        <v>34</v>
      </c>
      <c r="F87" s="31" t="s">
        <v>559</v>
      </c>
      <c r="G87" s="31" t="s">
        <v>123</v>
      </c>
      <c r="H87" s="32" t="n">
        <v>3</v>
      </c>
      <c r="I87" s="34" t="s">
        <v>37</v>
      </c>
      <c r="J87" s="31" t="s">
        <v>560</v>
      </c>
      <c r="K87" s="31" t="s">
        <v>166</v>
      </c>
      <c r="L87" s="31" t="s">
        <v>167</v>
      </c>
      <c r="M87" s="31" t="s">
        <v>140</v>
      </c>
      <c r="N87" s="35" t="s">
        <v>168</v>
      </c>
    </row>
    <row r="88" customFormat="false" ht="26.85" hidden="false" customHeight="false" outlineLevel="0" collapsed="false">
      <c r="A88" s="30" t="s">
        <v>561</v>
      </c>
      <c r="B88" s="31" t="s">
        <v>57</v>
      </c>
      <c r="C88" s="31" t="s">
        <v>562</v>
      </c>
      <c r="D88" s="32" t="s">
        <v>96</v>
      </c>
      <c r="E88" s="33" t="s">
        <v>34</v>
      </c>
      <c r="F88" s="31" t="s">
        <v>563</v>
      </c>
      <c r="G88" s="31" t="s">
        <v>123</v>
      </c>
      <c r="H88" s="32" t="n">
        <v>1</v>
      </c>
      <c r="I88" s="34" t="s">
        <v>41</v>
      </c>
      <c r="J88" s="31" t="s">
        <v>564</v>
      </c>
      <c r="K88" s="31" t="s">
        <v>443</v>
      </c>
      <c r="L88" s="31" t="s">
        <v>444</v>
      </c>
      <c r="M88" s="31" t="s">
        <v>140</v>
      </c>
      <c r="N88" s="35" t="n">
        <v>46507</v>
      </c>
    </row>
    <row r="89" customFormat="false" ht="26.85" hidden="false" customHeight="false" outlineLevel="0" collapsed="false">
      <c r="A89" s="30" t="s">
        <v>565</v>
      </c>
      <c r="B89" s="31" t="s">
        <v>57</v>
      </c>
      <c r="C89" s="31" t="s">
        <v>566</v>
      </c>
      <c r="D89" s="32" t="s">
        <v>96</v>
      </c>
      <c r="E89" s="33" t="s">
        <v>34</v>
      </c>
      <c r="F89" s="31" t="s">
        <v>567</v>
      </c>
      <c r="G89" s="31" t="s">
        <v>123</v>
      </c>
      <c r="H89" s="32" t="n">
        <v>0</v>
      </c>
      <c r="I89" s="34" t="s">
        <v>41</v>
      </c>
      <c r="J89" s="31" t="s">
        <v>568</v>
      </c>
      <c r="K89" s="31" t="s">
        <v>117</v>
      </c>
      <c r="L89" s="31" t="s">
        <v>444</v>
      </c>
      <c r="M89" s="31" t="s">
        <v>140</v>
      </c>
      <c r="N89" s="35" t="n">
        <v>46507</v>
      </c>
    </row>
    <row r="90" customFormat="false" ht="35.05" hidden="false" customHeight="false" outlineLevel="0" collapsed="false">
      <c r="A90" s="30" t="s">
        <v>81</v>
      </c>
      <c r="B90" s="31" t="s">
        <v>57</v>
      </c>
      <c r="C90" s="31" t="s">
        <v>82</v>
      </c>
      <c r="D90" s="32" t="s">
        <v>569</v>
      </c>
      <c r="E90" s="33" t="s">
        <v>570</v>
      </c>
      <c r="F90" s="31" t="s">
        <v>83</v>
      </c>
      <c r="G90" s="31" t="s">
        <v>123</v>
      </c>
      <c r="H90" s="32" t="s">
        <v>570</v>
      </c>
      <c r="I90" s="34" t="s">
        <v>43</v>
      </c>
      <c r="J90" s="31" t="s">
        <v>571</v>
      </c>
      <c r="K90" s="31" t="s">
        <v>166</v>
      </c>
      <c r="L90" s="31" t="s">
        <v>572</v>
      </c>
      <c r="M90" s="31" t="s">
        <v>309</v>
      </c>
      <c r="N90" s="35" t="s">
        <v>168</v>
      </c>
    </row>
    <row r="91" customFormat="false" ht="26.85" hidden="false" customHeight="false" outlineLevel="0" collapsed="false">
      <c r="A91" s="30" t="s">
        <v>573</v>
      </c>
      <c r="B91" s="31" t="s">
        <v>57</v>
      </c>
      <c r="C91" s="31" t="s">
        <v>574</v>
      </c>
      <c r="D91" s="32" t="s">
        <v>96</v>
      </c>
      <c r="E91" s="33" t="s">
        <v>106</v>
      </c>
      <c r="F91" s="31" t="s">
        <v>575</v>
      </c>
      <c r="G91" s="31" t="s">
        <v>551</v>
      </c>
      <c r="H91" s="32" t="n">
        <v>1</v>
      </c>
      <c r="I91" s="34" t="s">
        <v>41</v>
      </c>
      <c r="J91" s="31" t="s">
        <v>576</v>
      </c>
      <c r="K91" s="31" t="s">
        <v>443</v>
      </c>
      <c r="L91" s="31" t="s">
        <v>444</v>
      </c>
      <c r="M91" s="31" t="s">
        <v>140</v>
      </c>
      <c r="N91" s="35" t="n">
        <v>46507</v>
      </c>
    </row>
    <row r="92" customFormat="false" ht="26.85" hidden="false" customHeight="false" outlineLevel="0" collapsed="false">
      <c r="A92" s="30" t="s">
        <v>577</v>
      </c>
      <c r="B92" s="31" t="s">
        <v>57</v>
      </c>
      <c r="C92" s="31" t="s">
        <v>578</v>
      </c>
      <c r="D92" s="32" t="s">
        <v>96</v>
      </c>
      <c r="E92" s="33" t="s">
        <v>187</v>
      </c>
      <c r="F92" s="31" t="s">
        <v>579</v>
      </c>
      <c r="G92" s="31" t="s">
        <v>551</v>
      </c>
      <c r="H92" s="32" t="n">
        <v>0</v>
      </c>
      <c r="I92" s="34" t="s">
        <v>41</v>
      </c>
      <c r="J92" s="31" t="s">
        <v>580</v>
      </c>
      <c r="K92" s="31" t="s">
        <v>117</v>
      </c>
      <c r="L92" s="31" t="s">
        <v>118</v>
      </c>
      <c r="M92" s="31" t="s">
        <v>140</v>
      </c>
      <c r="N92" s="35" t="n">
        <v>46477</v>
      </c>
    </row>
    <row r="93" customFormat="false" ht="26.85" hidden="false" customHeight="false" outlineLevel="0" collapsed="false">
      <c r="A93" s="30" t="s">
        <v>581</v>
      </c>
      <c r="B93" s="31" t="s">
        <v>57</v>
      </c>
      <c r="C93" s="31" t="s">
        <v>582</v>
      </c>
      <c r="D93" s="32" t="s">
        <v>96</v>
      </c>
      <c r="E93" s="33" t="s">
        <v>30</v>
      </c>
      <c r="F93" s="31" t="s">
        <v>583</v>
      </c>
      <c r="G93" s="31" t="s">
        <v>123</v>
      </c>
      <c r="H93" s="32" t="n">
        <v>1</v>
      </c>
      <c r="I93" s="34" t="s">
        <v>41</v>
      </c>
      <c r="J93" s="31" t="s">
        <v>584</v>
      </c>
      <c r="K93" s="31" t="s">
        <v>443</v>
      </c>
      <c r="L93" s="31" t="s">
        <v>444</v>
      </c>
      <c r="M93" s="31" t="s">
        <v>140</v>
      </c>
      <c r="N93" s="35" t="n">
        <v>46507</v>
      </c>
    </row>
    <row r="94" customFormat="false" ht="26.85" hidden="false" customHeight="false" outlineLevel="0" collapsed="false">
      <c r="A94" s="30" t="s">
        <v>585</v>
      </c>
      <c r="B94" s="31" t="s">
        <v>57</v>
      </c>
      <c r="C94" s="31" t="s">
        <v>586</v>
      </c>
      <c r="D94" s="32" t="s">
        <v>96</v>
      </c>
      <c r="E94" s="33" t="s">
        <v>32</v>
      </c>
      <c r="F94" s="31" t="s">
        <v>587</v>
      </c>
      <c r="G94" s="31" t="s">
        <v>123</v>
      </c>
      <c r="H94" s="32" t="n">
        <v>1</v>
      </c>
      <c r="I94" s="34" t="s">
        <v>41</v>
      </c>
      <c r="J94" s="31" t="s">
        <v>588</v>
      </c>
      <c r="K94" s="31" t="s">
        <v>150</v>
      </c>
      <c r="L94" s="31" t="s">
        <v>151</v>
      </c>
      <c r="M94" s="31" t="s">
        <v>119</v>
      </c>
      <c r="N94" s="35" t="n">
        <v>46660</v>
      </c>
    </row>
  </sheetData>
  <autoFilter ref="A1:N94"/>
  <conditionalFormatting sqref="I2:I94">
    <cfRule type="expression" priority="2" aboveAverage="0" equalAverage="0" bottom="0" percent="0" rank="0" text="" dxfId="13">
      <formula>$I2="Implemented"</formula>
    </cfRule>
    <cfRule type="expression" priority="3" aboveAverage="0" equalAverage="0" bottom="0" percent="0" rank="0" text="" dxfId="14">
      <formula>$I2="Partially implemented"</formula>
    </cfRule>
    <cfRule type="expression" priority="4" aboveAverage="0" equalAverage="0" bottom="0" percent="0" rank="0" text="" dxfId="15">
      <formula>$I2="Not implemented"</formula>
    </cfRule>
    <cfRule type="expression" priority="5" aboveAverage="0" equalAverage="0" bottom="0" percent="0" rank="0" text="" dxfId="16">
      <formula>$I2="Excluded"</formula>
    </cfRule>
  </conditionalFormatting>
  <conditionalFormatting sqref="D2:D94">
    <cfRule type="expression" priority="6" aboveAverage="0" equalAverage="0" bottom="0" percent="0" rank="0" text="" dxfId="17">
      <formula>$D2="No"</formula>
    </cfRule>
  </conditionalFormatting>
  <dataValidations count="3">
    <dataValidation allowBlank="false" errorStyle="stop" operator="between" showDropDown="false" showErrorMessage="false" showInputMessage="false" sqref="D2:D94" type="list">
      <formula1>"Yes,No"</formula1>
      <formula2>0</formula2>
    </dataValidation>
    <dataValidation allowBlank="false" errorStyle="stop" operator="between" showDropDown="false" showErrorMessage="false" showInputMessage="false" sqref="I2:I94" type="list">
      <formula1>"Implemented,Partially implemented,Not implemented,Excluded"</formula1>
      <formula2>0</formula2>
    </dataValidation>
    <dataValidation allowBlank="true" errorStyle="stop" operator="between" showDropDown="false" showErrorMessage="false" showInputMessage="false" sqref="H2:H94" type="whole">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8"/>
    <col collapsed="false" customWidth="true" hidden="false" outlineLevel="0" max="4" min="4" style="0" width="80"/>
    <col collapsed="false" customWidth="true" hidden="false" outlineLevel="0" max="5" min="5" style="0" width="24"/>
  </cols>
  <sheetData>
    <row r="1" customFormat="false" ht="15" hidden="false" customHeight="false" outlineLevel="0" collapsed="false">
      <c r="A1" s="36" t="s">
        <v>6</v>
      </c>
      <c r="B1" s="36" t="s">
        <v>8</v>
      </c>
      <c r="C1" s="36" t="s">
        <v>589</v>
      </c>
      <c r="D1" s="36" t="s">
        <v>590</v>
      </c>
      <c r="E1" s="36" t="s">
        <v>591</v>
      </c>
    </row>
    <row r="2" customFormat="false" ht="30" hidden="false" customHeight="true" outlineLevel="0" collapsed="false">
      <c r="A2" s="4" t="s">
        <v>7</v>
      </c>
      <c r="B2" s="37" t="n">
        <v>46324</v>
      </c>
      <c r="C2" s="4" t="s">
        <v>3</v>
      </c>
      <c r="D2" s="4" t="s">
        <v>592</v>
      </c>
      <c r="E2" s="4" t="s">
        <v>593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2026-10-29T01:09:50Z</dcterms:created>
  <dc:creator>openpyxl</dc:creator>
  <dc:description/>
  <dc:language>en-US</dc:language>
  <cp:lastModifiedBy/>
  <dcterms:modified xsi:type="dcterms:W3CDTF">2026-10-29T01:09:50Z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