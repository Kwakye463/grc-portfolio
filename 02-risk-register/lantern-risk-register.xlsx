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Summary" sheetId="2" state="visible" r:id="rId4"/>
    <sheet name="Methodology" sheetId="3" state="visible" r:id="rId5"/>
    <sheet name="Risk Register" sheetId="4" state="visible" r:id="rId6"/>
    <sheet name="Treatment Plan" sheetId="5" state="visible" r:id="rId7"/>
    <sheet name="Change Log" sheetId="6" state="visible" r:id="rId8"/>
  </sheets>
  <definedNames>
    <definedName function="false" hidden="true" localSheetId="3" name="_xlnm._FilterDatabase" vbProcedure="false">'Risk Register'!$A$1:$AE$22</definedName>
    <definedName function="false" hidden="true" localSheetId="4" name="_xlnm._FilterDatabase" vbProcedure="false">'Treatment Plan'!$A$1:$I$44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<sst xmlns="http://schemas.openxmlformats.org/spreadsheetml/2006/main" count="919" uniqueCount="639">
  <si>
    <t xml:space="preserve">Information Security Risk Register</t>
  </si>
  <si>
    <t xml:space="preserve">Lantern Managed Services Ltd</t>
  </si>
  <si>
    <t xml:space="preserve">Prepared by</t>
  </si>
  <si>
    <t xml:space="preserve">Eugene Hayford</t>
  </si>
  <si>
    <t xml:space="preserve">Document reference</t>
  </si>
  <si>
    <t xml:space="preserve">LMS-ISMS-RR-001</t>
  </si>
  <si>
    <t xml:space="preserve">Version</t>
  </si>
  <si>
    <t xml:space="preserve">1.1</t>
  </si>
  <si>
    <t xml:space="preserve">Date</t>
  </si>
  <si>
    <t xml:space="preserve">October 2026</t>
  </si>
  <si>
    <t xml:space="preserve">Classification</t>
  </si>
  <si>
    <t xml:space="preserve">Confidential, Lantern internal</t>
  </si>
  <si>
    <t xml:space="preserve">Standard</t>
  </si>
  <si>
    <t xml:space="preserve">ISO/IEC 27001:2022 Clauses 6.1.2, 6.1.3, 8.2 and 8.3; guidance from ISO/IEC 27005:2022</t>
  </si>
  <si>
    <t xml:space="preserve">Related documents</t>
  </si>
  <si>
    <t xml:space="preserve">Scenario Dossier: Lantern Managed Services Ltd; ISO/IEC 27001:2022 Gap Assessment (findings GAP-001 to GAP-040); Statement of Applicability LMS-ISMS-SOA-001; Third-Party Risk Assessment TPRA-001</t>
  </si>
  <si>
    <t xml:space="preserve">Approval status</t>
  </si>
  <si>
    <t xml:space="preserve">Draft for approval by the Managing Director as risk appetite owner</t>
  </si>
  <si>
    <t xml:space="preserve">Scenario notice</t>
  </si>
  <si>
    <t xml:space="preserve">Lantern Managed Services Ltd is a fictional organisation used to demonstrate risk management methodology. No real client, employee or commercial information is used. The register is the output of the risk assessment recommended in finding GAP-002 of the accompanying gap assessment.</t>
  </si>
  <si>
    <t xml:space="preserve">How to use this workbook</t>
  </si>
  <si>
    <t xml:space="preserve">Methodology</t>
  </si>
  <si>
    <t xml:space="preserve">Scoring scales, rating bands, risk appetite by category, treatment options and review frequency. Change the appetite thresholds here and the register updates.</t>
  </si>
  <si>
    <t xml:space="preserve">Risk Register</t>
  </si>
  <si>
    <t xml:space="preserve">The 21 identified risks. Each risk is written as cause, event and consequence, scored on current controls, and traced to Annex A controls and gap findings.</t>
  </si>
  <si>
    <t xml:space="preserve">Treatment Plan</t>
  </si>
  <si>
    <t xml:space="preserve">The 43 actions that deliver the treatment for each risk, with owner, phase, target date and the evidence that will prove completion.</t>
  </si>
  <si>
    <t xml:space="preserve">Summary</t>
  </si>
  <si>
    <t xml:space="preserve">Heat maps of current and target risk, counts by rating, the highest current risks and the risks that remain above appetite.</t>
  </si>
  <si>
    <t xml:space="preserve">Change Log</t>
  </si>
  <si>
    <t xml:space="preserve">Version history of the register.</t>
  </si>
  <si>
    <t xml:space="preserve">Editing</t>
  </si>
  <si>
    <t xml:space="preserve">Blue cells on the Risk Register (likelihood, impact, treatment option, status, review date) are inputs. Score, rating, appetite threshold, appetite check and next review date are formulas and should not be overwritten.</t>
  </si>
  <si>
    <t xml:space="preserve">Risk Summary</t>
  </si>
  <si>
    <t xml:space="preserve">All figures calculate from the Risk Register</t>
  </si>
  <si>
    <t xml:space="preserve">Current risk (existing controls)</t>
  </si>
  <si>
    <t xml:space="preserve">Target risk (after treatment)</t>
  </si>
  <si>
    <t xml:space="preserve">Likelihood / Impact</t>
  </si>
  <si>
    <t xml:space="preserve">Empty cells contain no risks. Numbers show how many risks sit at each point.</t>
  </si>
  <si>
    <t xml:space="preserve">Risks by rating</t>
  </si>
  <si>
    <t xml:space="preserve">Appetite position</t>
  </si>
  <si>
    <t xml:space="preserve">Rating</t>
  </si>
  <si>
    <t xml:space="preserve">Current</t>
  </si>
  <si>
    <t xml:space="preserve">Target</t>
  </si>
  <si>
    <t xml:space="preserve">Risks above appetite today</t>
  </si>
  <si>
    <t xml:space="preserve">Critical</t>
  </si>
  <si>
    <t xml:space="preserve">Risks above appetite after treatment</t>
  </si>
  <si>
    <t xml:space="preserve">High</t>
  </si>
  <si>
    <t xml:space="preserve">Average current score</t>
  </si>
  <si>
    <t xml:space="preserve">Medium</t>
  </si>
  <si>
    <t xml:space="preserve">Average target score</t>
  </si>
  <si>
    <t xml:space="preserve">Low</t>
  </si>
  <si>
    <t xml:space="preserve">Reduction in total risk score</t>
  </si>
  <si>
    <t xml:space="preserve">Total</t>
  </si>
  <si>
    <t xml:space="preserve">Risks by owner</t>
  </si>
  <si>
    <t xml:space="preserve">Owner</t>
  </si>
  <si>
    <t xml:space="preserve">Risks</t>
  </si>
  <si>
    <t xml:space="preserve">Above appetite now</t>
  </si>
  <si>
    <t xml:space="preserve">Finance Director</t>
  </si>
  <si>
    <t xml:space="preserve">Infrastructure Lead</t>
  </si>
  <si>
    <t xml:space="preserve">Managing Director</t>
  </si>
  <si>
    <t xml:space="preserve">Operations Director</t>
  </si>
  <si>
    <t xml:space="preserve">Technical Director</t>
  </si>
  <si>
    <t xml:space="preserve">Highest current risks</t>
  </si>
  <si>
    <t xml:space="preserve">Risk ID</t>
  </si>
  <si>
    <t xml:space="preserve">Title</t>
  </si>
  <si>
    <t xml:space="preserve">R-001</t>
  </si>
  <si>
    <t xml:space="preserve">R-012</t>
  </si>
  <si>
    <t xml:space="preserve">R-002</t>
  </si>
  <si>
    <t xml:space="preserve">R-004</t>
  </si>
  <si>
    <t xml:space="preserve">R-010</t>
  </si>
  <si>
    <t xml:space="preserve">R-011</t>
  </si>
  <si>
    <t xml:space="preserve">R-003</t>
  </si>
  <si>
    <t xml:space="preserve">R-008</t>
  </si>
  <si>
    <t xml:space="preserve">Risks still above appetite after treatment</t>
  </si>
  <si>
    <t xml:space="preserve">None. R-008 was the only risk above appetite in v1.0. It was brought within appetite by the treatment agreed after third party assessment TPRA-001, with interim acceptance requested until that treatment is complete.</t>
  </si>
  <si>
    <t xml:space="preserve">This list is reviewed by the Managing Director. Each item needs either a formal acceptance or additional treatment.</t>
  </si>
  <si>
    <t xml:space="preserve">Risk Assessment Methodology</t>
  </si>
  <si>
    <t xml:space="preserve">How risks in this register are identified, scored, compared with appetite and treated</t>
  </si>
  <si>
    <t xml:space="preserve">1. Approach</t>
  </si>
  <si>
    <t xml:space="preserve">Risks are identified by asset and threat. For each information asset in scope, the assessor asks what could happen to it, who or what would cause it, and which weakness would allow it. Each risk is written as cause, event and consequence so that the owner can see exactly what they are being asked to manage.</t>
  </si>
  <si>
    <t xml:space="preserve">Risks are scored on their current level, meaning with the controls that actually operate today. Inherent risk (risk with no controls at all) is not scored. ISO/IEC 27001 does not require it, it is hypothetical for an organisation that already runs controls, and in practice it tends to be guessed. Scoring current and target risk gives the board the two numbers it needs: where we are and where the treatment plan will take us.</t>
  </si>
  <si>
    <t xml:space="preserve">2. Likelihood scale (over the next 12 months)</t>
  </si>
  <si>
    <t xml:space="preserve">Score</t>
  </si>
  <si>
    <t xml:space="preserve">Level</t>
  </si>
  <si>
    <t xml:space="preserve">Description</t>
  </si>
  <si>
    <t xml:space="preserve">Indicative probability</t>
  </si>
  <si>
    <t xml:space="preserve">Rare</t>
  </si>
  <si>
    <t xml:space="preserve">Would require an unusual combination of events. No known occurrence in comparable MSPs.</t>
  </si>
  <si>
    <t xml:space="preserve">Under 5%</t>
  </si>
  <si>
    <t xml:space="preserve">Unlikely</t>
  </si>
  <si>
    <t xml:space="preserve">Could happen, but controls or circumstances make it improbable.</t>
  </si>
  <si>
    <t xml:space="preserve">5% to 20%</t>
  </si>
  <si>
    <t xml:space="preserve">Possible</t>
  </si>
  <si>
    <t xml:space="preserve">Has happened to comparable organisations. Weaknesses exist that would allow it.</t>
  </si>
  <si>
    <t xml:space="preserve">20% to 50%</t>
  </si>
  <si>
    <t xml:space="preserve">Likely</t>
  </si>
  <si>
    <t xml:space="preserve">Expected to happen at some point in the year, or has already happened at Lantern.</t>
  </si>
  <si>
    <t xml:space="preserve">50% to 80%</t>
  </si>
  <si>
    <t xml:space="preserve">Almost certain</t>
  </si>
  <si>
    <t xml:space="preserve">Expected to happen, or is already happening.</t>
  </si>
  <si>
    <t xml:space="preserve">Over 80%</t>
  </si>
  <si>
    <t xml:space="preserve">3. Impact scale (score the highest dimension that applies)</t>
  </si>
  <si>
    <t xml:space="preserve">Financial</t>
  </si>
  <si>
    <t xml:space="preserve">Clients and service</t>
  </si>
  <si>
    <t xml:space="preserve">Regulatory and legal</t>
  </si>
  <si>
    <t xml:space="preserve">Reputation</t>
  </si>
  <si>
    <t xml:space="preserve">Negligible</t>
  </si>
  <si>
    <t xml:space="preserve">Under £10k</t>
  </si>
  <si>
    <t xml:space="preserve">No client noticeable impact</t>
  </si>
  <si>
    <t xml:space="preserve">No regulatory interest</t>
  </si>
  <si>
    <t xml:space="preserve">No external awareness</t>
  </si>
  <si>
    <t xml:space="preserve">Minor</t>
  </si>
  <si>
    <t xml:space="preserve">£10k to £50k</t>
  </si>
  <si>
    <t xml:space="preserve">One client affected for under a day</t>
  </si>
  <si>
    <t xml:space="preserve">Internal record only, no reportable breach</t>
  </si>
  <si>
    <t xml:space="preserve">Single client complaint</t>
  </si>
  <si>
    <t xml:space="preserve">Moderate</t>
  </si>
  <si>
    <t xml:space="preserve">£50k to £250k</t>
  </si>
  <si>
    <t xml:space="preserve">Several clients affected or one client for several days; SLA credits</t>
  </si>
  <si>
    <t xml:space="preserve">Reportable breach with limited ICO follow up</t>
  </si>
  <si>
    <t xml:space="preserve">Local or trade press; several complaints</t>
  </si>
  <si>
    <t xml:space="preserve">Major</t>
  </si>
  <si>
    <t xml:space="preserve">£250k to £1m</t>
  </si>
  <si>
    <t xml:space="preserve">Many clients affected; some contracts lost</t>
  </si>
  <si>
    <t xml:space="preserve">ICO investigation or regulator enforcement notice</t>
  </si>
  <si>
    <t xml:space="preserve">National trade press; loss of tenders</t>
  </si>
  <si>
    <t xml:space="preserve">Severe</t>
  </si>
  <si>
    <t xml:space="preserve">Over £1m (12% or more of turnover)</t>
  </si>
  <si>
    <t xml:space="preserve">Simultaneous impact across the client base; loss of 10% or more of clients</t>
  </si>
  <si>
    <t xml:space="preserve">Significant fine or turnover based penalty</t>
  </si>
  <si>
    <t xml:space="preserve">National press; long term loss of trust</t>
  </si>
  <si>
    <t xml:space="preserve">4. Risk score and rating</t>
  </si>
  <si>
    <t xml:space="preserve">Risk score = likelihood x impact, giving a value from 1 to 25. The score maps to a rating as follows.</t>
  </si>
  <si>
    <t xml:space="preserve">Meaning</t>
  </si>
  <si>
    <t xml:space="preserve">Required response</t>
  </si>
  <si>
    <t xml:space="preserve">20 to 25</t>
  </si>
  <si>
    <t xml:space="preserve">Unacceptable in any category</t>
  </si>
  <si>
    <t xml:space="preserve">Immediate treatment. Cannot be accepted. Reported to the Managing Director within 5 working days.</t>
  </si>
  <si>
    <t xml:space="preserve">10 to 16</t>
  </si>
  <si>
    <t xml:space="preserve">Above appetite in every category except Strategic</t>
  </si>
  <si>
    <t xml:space="preserve">Treatment plan agreed within 1 month. Acceptance only by the Managing Director.</t>
  </si>
  <si>
    <t xml:space="preserve">5 to 9</t>
  </si>
  <si>
    <t xml:space="preserve">Within appetite for some categories</t>
  </si>
  <si>
    <t xml:space="preserve">Treat or accept depending on category appetite. Acceptance by the risk owner.</t>
  </si>
  <si>
    <t xml:space="preserve">1 to 4</t>
  </si>
  <si>
    <t xml:space="preserve">Within appetite for all categories</t>
  </si>
  <si>
    <t xml:space="preserve">Accept and monitor through the normal review cycle.</t>
  </si>
  <si>
    <t xml:space="preserve">5. Risk matrix</t>
  </si>
  <si>
    <t xml:space="preserve">6. Risk appetite by category</t>
  </si>
  <si>
    <t xml:space="preserve">Appetite is set by the Managing Director and differs by category. Lantern's business depends on clients trusting it with administrative access, so appetite for risks to that trust is low. Appetite for commercial risk is higher because the business must keep taking on new clients and projects. The maximum acceptable score below drives the appetite columns on the Risk Register.</t>
  </si>
  <si>
    <t xml:space="preserve">Category</t>
  </si>
  <si>
    <t xml:space="preserve">Appetite</t>
  </si>
  <si>
    <t xml:space="preserve">Appetite statement</t>
  </si>
  <si>
    <t xml:space="preserve">Max acceptable score</t>
  </si>
  <si>
    <t xml:space="preserve">Client Trust &amp; Privileged Access</t>
  </si>
  <si>
    <t xml:space="preserve">Lantern will not accept risks that could expose client environments or client credentials beyond a Medium rating of 6.</t>
  </si>
  <si>
    <t xml:space="preserve">Regulatory &amp; Legal</t>
  </si>
  <si>
    <t xml:space="preserve">Lantern will meet its legal and contractual obligations and will not accept a Medium risk above 6 of regulatory breach.</t>
  </si>
  <si>
    <t xml:space="preserve">Operational Resilience</t>
  </si>
  <si>
    <t xml:space="preserve">Lantern accepts some disruption to its own operations where the cost of further control is disproportionate.</t>
  </si>
  <si>
    <t xml:space="preserve">Strategic &amp; Commercial</t>
  </si>
  <si>
    <t xml:space="preserve">Open</t>
  </si>
  <si>
    <t xml:space="preserve">Lantern accepts commercial risk in pursuit of growth, provided it is understood and owned.</t>
  </si>
  <si>
    <t xml:space="preserve">7. Treatment options</t>
  </si>
  <si>
    <t xml:space="preserve">Option</t>
  </si>
  <si>
    <t xml:space="preserve">Also called</t>
  </si>
  <si>
    <t xml:space="preserve">When it is used</t>
  </si>
  <si>
    <t xml:space="preserve">Treat</t>
  </si>
  <si>
    <t xml:space="preserve">Modify</t>
  </si>
  <si>
    <t xml:space="preserve">Apply or improve controls to reduce likelihood, impact or both. The default for any risk above appetite.</t>
  </si>
  <si>
    <t xml:space="preserve">Tolerate</t>
  </si>
  <si>
    <t xml:space="preserve">Retain / Accept</t>
  </si>
  <si>
    <t xml:space="preserve">Risk is within appetite, or the cost of treatment outweighs the benefit. Acceptance is recorded with the name of the person who accepted it.</t>
  </si>
  <si>
    <t xml:space="preserve">Transfer</t>
  </si>
  <si>
    <t xml:space="preserve">Share</t>
  </si>
  <si>
    <t xml:space="preserve">Move part of the impact to a third party, for example through cyber insurance or contract terms. Does not remove accountability.</t>
  </si>
  <si>
    <t xml:space="preserve">Terminate</t>
  </si>
  <si>
    <t xml:space="preserve">Avoid</t>
  </si>
  <si>
    <t xml:space="preserve">Stop the activity that creates the risk, for example decommissioning a system.</t>
  </si>
  <si>
    <t xml:space="preserve">8. Ownership, acceptance and review</t>
  </si>
  <si>
    <t xml:space="preserve">Who may accept</t>
  </si>
  <si>
    <t xml:space="preserve">Review frequency</t>
  </si>
  <si>
    <t xml:space="preserve">Reporting</t>
  </si>
  <si>
    <t xml:space="preserve">Nobody. Must be treated.</t>
  </si>
  <si>
    <t xml:space="preserve">Monthly</t>
  </si>
  <si>
    <t xml:space="preserve">Every leadership meeting</t>
  </si>
  <si>
    <t xml:space="preserve">Managing Director only</t>
  </si>
  <si>
    <t xml:space="preserve">Risk owner</t>
  </si>
  <si>
    <t xml:space="preserve">Quarterly</t>
  </si>
  <si>
    <t xml:space="preserve">Quarterly ISMS management review</t>
  </si>
  <si>
    <t xml:space="preserve">Every risk has one named owner at director or lead level. The owner is accountable for the treatment plan and for confirming the score at each review. The full register is reviewed at the quarterly ISMS management review (Clause 9.3) and reassessed in full at least annually or after any significant change or incident (Clause 8.2).</t>
  </si>
  <si>
    <t xml:space="preserve">Risk title</t>
  </si>
  <si>
    <t xml:space="preserve">Risk description (cause, event, consequence)</t>
  </si>
  <si>
    <t xml:space="preserve">Assets affected</t>
  </si>
  <si>
    <t xml:space="preserve">Threat</t>
  </si>
  <si>
    <t xml:space="preserve">Vulnerability</t>
  </si>
  <si>
    <t xml:space="preserve">CIA</t>
  </si>
  <si>
    <t xml:space="preserve">Existing controls</t>
  </si>
  <si>
    <t xml:space="preserve">Current likelihood</t>
  </si>
  <si>
    <t xml:space="preserve">Current impact</t>
  </si>
  <si>
    <t xml:space="preserve">Current score</t>
  </si>
  <si>
    <t xml:space="preserve">Current rating</t>
  </si>
  <si>
    <t xml:space="preserve">Scoring rationale</t>
  </si>
  <si>
    <t xml:space="preserve">Treatment option</t>
  </si>
  <si>
    <t xml:space="preserve">Treatment plan</t>
  </si>
  <si>
    <t xml:space="preserve">Annex A controls</t>
  </si>
  <si>
    <t xml:space="preserve">Gap assessment refs</t>
  </si>
  <si>
    <t xml:space="preserve">Target likelihood</t>
  </si>
  <si>
    <t xml:space="preserve">Target impact</t>
  </si>
  <si>
    <t xml:space="preserve">Target score</t>
  </si>
  <si>
    <t xml:space="preserve">Target rating</t>
  </si>
  <si>
    <t xml:space="preserve">Appetite threshold</t>
  </si>
  <si>
    <t xml:space="preserve">Current within appetite</t>
  </si>
  <si>
    <t xml:space="preserve">Target within appetite</t>
  </si>
  <si>
    <t xml:space="preserve">Target date</t>
  </si>
  <si>
    <t xml:space="preserve">Status</t>
  </si>
  <si>
    <t xml:space="preserve">Last reviewed</t>
  </si>
  <si>
    <t xml:space="preserve">Next review due</t>
  </si>
  <si>
    <t xml:space="preserve">Notes</t>
  </si>
  <si>
    <t xml:space="preserve">Compromise of privileged platform credentials leads to mass compromise of client environments</t>
  </si>
  <si>
    <t xml:space="preserve">An attacker obtains an engineer's password for the RMM platform or backup console through phishing, password reuse or infostealer malware. Because neither platform enforces MFA, the attacker logs in and uses legitimate remote access and scripting to deploy ransomware across client endpoints and delete client backups.</t>
  </si>
  <si>
    <t xml:space="preserve">RMM platform; backup console; c.3,200 client endpoints; client backup data</t>
  </si>
  <si>
    <t xml:space="preserve">External attacker (organised ransomware group)</t>
  </si>
  <si>
    <t xml:space="preserve">No MFA on RMM platform or backup console; shared engineer credentials on six client tenancies</t>
  </si>
  <si>
    <t xml:space="preserve">C, I, A</t>
  </si>
  <si>
    <t xml:space="preserve">MFA enforced on Microsoft 365 only; Defender for Endpoint P1 on Lantern laptops; engineers use a password manager</t>
  </si>
  <si>
    <t xml:space="preserve">Likely: attacks on MSP remote management tooling are common and one stolen password is enough. Severe: simultaneous impact across 140 clients, likely loss of a large share of the client base, plus ICO and contractual exposure.</t>
  </si>
  <si>
    <t xml:space="preserve">Enforce phishing resistant MFA on the RMM platform and backup console as an emergency change. Remove shared credentials. Restrict admin console access by conditional access or IP allow list. Alert on new device sign in and mass script execution.</t>
  </si>
  <si>
    <t xml:space="preserve">A.5.15, A.5.17, A.8.2, A.8.5, A.8.16</t>
  </si>
  <si>
    <t xml:space="preserve">GAP-030, GAP-016, GAP-032</t>
  </si>
  <si>
    <t xml:space="preserve">Open: treatment planned</t>
  </si>
  <si>
    <t xml:space="preserve">Impact stays at 5 because a successful attack would still be severe. Treatment works on likelihood.</t>
  </si>
  <si>
    <t xml:space="preserve">Former employee retains privileged access to client platforms</t>
  </si>
  <si>
    <t xml:space="preserve">The leaver process does not reliably remove accounts. A former engineer, or an attacker who has obtained a former engineer's credentials, uses an account that is still active to access client environments without being noticed.</t>
  </si>
  <si>
    <t xml:space="preserve">RMM platform; credential vault; backup console; Partner Center; PSA</t>
  </si>
  <si>
    <t xml:space="preserve">Disgruntled former employee; external attacker using stale credentials</t>
  </si>
  <si>
    <t xml:space="preserve">No leaver checklist covering client platforms; no verification step; no access reviews; no monitoring of dormant accounts</t>
  </si>
  <si>
    <t xml:space="preserve">HR emails IT about leavers; Entra ID account disabled on the last working day</t>
  </si>
  <si>
    <t xml:space="preserve">Likely: the failure has already happened, with two RMM accounts still active three months after the engineers left. Major rather than severe because misuse by one individual is more likely to be targeted than estate wide.</t>
  </si>
  <si>
    <t xml:space="preserve">Audit every account on the critical platforms against the HR roster now. Introduce a leaver checklist naming every platform, a 4 hour revocation target and sign off by the Technical Director. Run quarterly access reviews. Move client platforms to Entra ID single sign on where supported so one disablement removes all access.</t>
  </si>
  <si>
    <t xml:space="preserve">A.5.16, A.5.18, A.6.5, A.8.2</t>
  </si>
  <si>
    <t xml:space="preserve">GAP-021, GAP-016, GAP-006</t>
  </si>
  <si>
    <t xml:space="preserve">Log the original failure as a nonconformity under Clause 10.2 so the record shows corrective action.</t>
  </si>
  <si>
    <t xml:space="preserve">Excessive standing privilege allows misuse to go further and remain unattributed</t>
  </si>
  <si>
    <t xml:space="preserve">Engineers hold more access than their roles need: three engineers have permanent full access to the credential vault, 41 clients are still on legacy full delegated admin, and shared accounts are used on six tenancies. If any account is compromised or misused, the reach is far wider than necessary and actions cannot be traced to a person.</t>
  </si>
  <si>
    <t xml:space="preserve">Credential vault; client Microsoft 365 tenancies; Partner Center</t>
  </si>
  <si>
    <t xml:space="preserve">Compromised engineer account; malicious insider; human error</t>
  </si>
  <si>
    <t xml:space="preserve">No access control policy; no least privilege model; legacy delegated admin; shared credentials; no break glass model for the vault</t>
  </si>
  <si>
    <t xml:space="preserve">C, I</t>
  </si>
  <si>
    <t xml:space="preserve">Vault requires individual login; 99 clients already on granular delegated admin (GDAP)</t>
  </si>
  <si>
    <t xml:space="preserve">Possible: needs a separate compromise or insider act first, but standing access makes any such event high impact straight away. Severe: full vault access exposes administrative credentials for all 140 clients.</t>
  </si>
  <si>
    <t xml:space="preserve">Write an access control policy. Finish the GDAP migration for the remaining 41 clients. Replace shared accounts. Introduce just in time elevation for the vault with monitored break glass accounts. Quarterly access reviews.</t>
  </si>
  <si>
    <t xml:space="preserve">A.5.15, A.5.16, A.5.18, A.8.2, A.8.3</t>
  </si>
  <si>
    <t xml:space="preserve">GAP-016</t>
  </si>
  <si>
    <t xml:space="preserve">Impact falls once access is scoped, because one compromised account no longer reaches every client.</t>
  </si>
  <si>
    <t xml:space="preserve">Uncontrolled script deployment causes a widespread client outage</t>
  </si>
  <si>
    <t xml:space="preserve">Engineers push scripts to client estates through the RMM without review, testing or approval. A faulty script, or one run against the wrong device group, executes on thousands of endpoints at once and causes outages or data loss for several clients.</t>
  </si>
  <si>
    <t xml:space="preserve">RMM platform; client endpoints; client service availability</t>
  </si>
  <si>
    <t xml:space="preserve">Human error; malicious insider</t>
  </si>
  <si>
    <t xml:space="preserve">No change management; scripts not version controlled or peer reviewed; no pilot group; no rollback plans</t>
  </si>
  <si>
    <t xml:space="preserve">I, A</t>
  </si>
  <si>
    <t xml:space="preserve">Experienced engineers; RMM allows targeting by device group</t>
  </si>
  <si>
    <t xml:space="preserve">Likely: scripts go out every week with no review, so an error within 12 months is more likely than not. Major: multi client outage with SLA credits and reputational damage, though normally recoverable.</t>
  </si>
  <si>
    <t xml:space="preserve">Introduce change management with standard, normal and emergency categories. Peer review and approval for any script touching more than one client. Version controlled script repository. Internal pilot group before wider release. Rollback plan for normal changes. All changes logged in the PSA.</t>
  </si>
  <si>
    <t xml:space="preserve">A.8.25, A.8.31, A.8.32</t>
  </si>
  <si>
    <t xml:space="preserve">GAP-031, GAP-038</t>
  </si>
  <si>
    <t xml:space="preserve">R-005</t>
  </si>
  <si>
    <t xml:space="preserve">Ransomware spreads through Lantern's own corporate environment</t>
  </si>
  <si>
    <t xml:space="preserve">Malware gets in through an unmanaged lab device or an unpatched internal system and spreads across the flat office network, encrypting Lantern's own systems including the legacy Hyper-V host. The service desk cannot operate and service to all clients is disrupted.</t>
  </si>
  <si>
    <t xml:space="preserve">Corporate laptops; legacy Hyper-V host; office network; Lantern internal data</t>
  </si>
  <si>
    <t xml:space="preserve">Ransomware operators; commodity malware</t>
  </si>
  <si>
    <t xml:space="preserve">Flat network with no segregation; seven unmanaged lab devices; inconsistent internal patching; no vulnerability scanning</t>
  </si>
  <si>
    <t xml:space="preserve">Defender for Endpoint P1 and Intune compliance on managed devices; Defender for Office 365 P1</t>
  </si>
  <si>
    <t xml:space="preserve">Possible: managed laptops are reasonably protected, but the unmanaged devices and flat network give an easy path once a foothold exists. Major: loss of internal systems stops the service desk for every client.</t>
  </si>
  <si>
    <t xml:space="preserve">Segregate the network into corporate, lab and guest VLANs. Bring lab devices under Intune or isolate them. Introduce vulnerability scanning and remediation targets by severity. Migrate and decommission the legacy host.</t>
  </si>
  <si>
    <t xml:space="preserve">A.8.7, A.8.8, A.8.20, A.8.22</t>
  </si>
  <si>
    <t xml:space="preserve">GAP-034, GAP-033, GAP-026</t>
  </si>
  <si>
    <t xml:space="preserve">R-006</t>
  </si>
  <si>
    <t xml:space="preserve">Personal data breach involving client data</t>
  </si>
  <si>
    <t xml:space="preserve">Client data, including special category health data held for healthcare clients, leaves the organisation by mistake or on purpose because there is no classification scheme and no data loss prevention. The breach has to be reported to the ICO and to the affected clients.</t>
  </si>
  <si>
    <t xml:space="preserve">Ticketing data; client documentation; client backup data</t>
  </si>
  <si>
    <t xml:space="preserve">Staff error; malicious insider</t>
  </si>
  <si>
    <t xml:space="preserve">No classification scheme; Microsoft 365 DLP not enabled; removable media not restricted</t>
  </si>
  <si>
    <t xml:space="preserve">C</t>
  </si>
  <si>
    <t xml:space="preserve">Defender for Office 365 P1; BitLocker on laptops</t>
  </si>
  <si>
    <t xml:space="preserve">Possible: staff handle client data every day with no technical guardrail. Major: special category data raises ICO exposure and healthcare clients would be likely to leave.</t>
  </si>
  <si>
    <t xml:space="preserve">Adopt a four level classification scheme and handling rules. Apply sensitivity labels. Run Microsoft 365 DLP in audit mode, then enforce. Block removable media through Intune. Cover data handling in awareness training.</t>
  </si>
  <si>
    <t xml:space="preserve">A.5.12, A.5.13, A.5.34, A.8.12</t>
  </si>
  <si>
    <t xml:space="preserve">GAP-015, GAP-037, GAP-011</t>
  </si>
  <si>
    <t xml:space="preserve">R-007</t>
  </si>
  <si>
    <t xml:space="preserve">Processor obligations not met on legacy client contracts</t>
  </si>
  <si>
    <t xml:space="preserve">22 client contracts date from before 2019 and do not include UK GDPR Article 28 processor terms, and no Article 30 records of processing exist. Lantern is processing personal data without the required contractual basis, which exposes it to ICO action and to disputes with clients if a breach happens.</t>
  </si>
  <si>
    <t xml:space="preserve">Client contracts; client personal data</t>
  </si>
  <si>
    <t xml:space="preserve">Regulatory enforcement; client legal claim</t>
  </si>
  <si>
    <t xml:space="preserve">Contracts never refreshed; no legal and regulatory register; no accountable data protection role</t>
  </si>
  <si>
    <t xml:space="preserve">Article 28 terms present in 118 of 140 contracts</t>
  </si>
  <si>
    <t xml:space="preserve">Possible: the gap only bites if there is a breach or audit, but any client audit would find it. Moderate: ICO action over a contract gap alone is unlikely to be large, but liability in a breach would be unclear.</t>
  </si>
  <si>
    <t xml:space="preserve">Issue a data processing addendum to the 22 clients. Build a legal and regulatory register. Produce Article 30 records. Name an accountable data protection lead.</t>
  </si>
  <si>
    <t xml:space="preserve">A.5.31, A.5.34</t>
  </si>
  <si>
    <t xml:space="preserve">GAP-019</t>
  </si>
  <si>
    <t xml:space="preserve">Contract sample was 10 of 140; confirm the count of 22 by full review.</t>
  </si>
  <si>
    <t xml:space="preserve">Security failure at a critical SaaS supplier</t>
  </si>
  <si>
    <t xml:space="preserve">The credential vault, RMM, PSA or backup supplier suffers a breach or a long outage. Because the vault holds administrative credentials for every client and the RMM reaches every managed endpoint, a breach at the supplier becomes a breach of Lantern's clients. Lantern has never assessed these suppliers.</t>
  </si>
  <si>
    <t xml:space="preserve">Credential vault; RMM platform; PSA; backup platform</t>
  </si>
  <si>
    <t xml:space="preserve">Supply chain attack on the vendor; vendor outage</t>
  </si>
  <si>
    <t xml:space="preserve">No supplier register; no due diligence; no security terms in contracts; no exit plans</t>
  </si>
  <si>
    <t xml:space="preserve">Suppliers are established vendors; DPA in place with the backup supplier</t>
  </si>
  <si>
    <t xml:space="preserve">Possible: MSP software vendors have been breached before and Lantern has no view of its suppliers' controls. Severe: the vault holds credentials for every client environment.</t>
  </si>
  <si>
    <t xml:space="preserve">Build a supplier register with criticality tiers. Fully assess the four critical suppliers, starting with the credential vault (done: TPRA-001). Harden Lantern's use of the vault with enforced MFA, SSO, least privilege and IP restriction. Agree a security schedule with 24 hour incident notification at renewal. Reduce what the vault holds by removing tenant admin credentials after GDAP and deploying Windows LAPS. Document exit plans. Reassess annually.</t>
  </si>
  <si>
    <t xml:space="preserve">A.5.19, A.5.20, A.5.21, A.5.22, A.5.23</t>
  </si>
  <si>
    <t xml:space="preserve">GAP-012, GAP-020; TPRA-001</t>
  </si>
  <si>
    <t xml:space="preserve">Updated after third party assessment TPRA-001 (Oct 2026). Supplier controls are adequate but keys are supplier held, so impact only falls once the vault stops holding tenant admin credentials (TP-43). Until then the residual is 10, above appetite, and interim acceptance by the Managing Director is requested to 30 Jul 2027.</t>
  </si>
  <si>
    <t xml:space="preserve">R-009</t>
  </si>
  <si>
    <t xml:space="preserve">Data cannot be restored after ransomware or malicious deletion</t>
  </si>
  <si>
    <t xml:space="preserve">Backup jobs are checked for success, but restores are not tested and immutability has not been confirmed. After ransomware or a deletion through the backup console, client or Lantern data cannot be recovered in an acceptable time, or at all.</t>
  </si>
  <si>
    <t xml:space="preserve">Client backup data; Lantern corporate backups; backup console</t>
  </si>
  <si>
    <t xml:space="preserve">Ransomware operator targeting backups; technical failure; human error</t>
  </si>
  <si>
    <t xml:space="preserve">No restore testing; immutability not verified; no backup policy; console has no MFA</t>
  </si>
  <si>
    <t xml:space="preserve">Daily backup jobs with success monitoring; UK region SaaS platform</t>
  </si>
  <si>
    <t xml:space="preserve">Possible: ransomware groups go after backups first and restorability has never been proven. Severe: managed backup is a contracted service, so a failed restore would end client relationships and invite legal claims.</t>
  </si>
  <si>
    <t xml:space="preserve">Write a backup policy. Enable and verify immutability. Restore test Lantern's own data now, then run quarterly sampled client restore tests. Define RTO and RPO per service. MFA on the console is covered under R-001.</t>
  </si>
  <si>
    <t xml:space="preserve">A.5.30, A.8.13, A.8.14</t>
  </si>
  <si>
    <t xml:space="preserve">GAP-035, GAP-018, GAP-030</t>
  </si>
  <si>
    <t xml:space="preserve">Malicious activity on privileged platforms goes undetected</t>
  </si>
  <si>
    <t xml:space="preserve">Logs from the RMM, credential vault and backup console are not collected or reviewed and nothing raises an alert. An attacker or insider misusing privileged access can operate for weeks before anyone notices, which makes every other incident worse.</t>
  </si>
  <si>
    <t xml:space="preserve">RMM platform; credential vault; backup console; Entra ID</t>
  </si>
  <si>
    <t xml:space="preserve">External attacker; malicious insider</t>
  </si>
  <si>
    <t xml:space="preserve">No SIEM; no alerting; 90 day retention; logs only reviewed during investigations</t>
  </si>
  <si>
    <t xml:space="preserve">Entra ID and Microsoft 365 audit logs kept for 90 days; Defender alerts on managed laptops</t>
  </si>
  <si>
    <t xml:space="preserve">Likely: detection currently depends on luck, as shown by stale accounts going unnoticed for three months. Major: a long dwell time multiplies the impact of every other risk in this register.</t>
  </si>
  <si>
    <t xml:space="preserve">Deploy Microsoft Sentinel with connectors for Entra ID, Microsoft 365, RMM, vault and backup console. Keep logs for 12 months. Build a minimum alert set (vault access, privileged role changes, MFA changes, impossible travel, mass script runs, backup deletion). Assign daily triage.</t>
  </si>
  <si>
    <t xml:space="preserve">A.8.15, A.8.16</t>
  </si>
  <si>
    <t xml:space="preserve">GAP-032</t>
  </si>
  <si>
    <t xml:space="preserve">Incident response fails and notification deadlines are missed</t>
  </si>
  <si>
    <t xml:space="preserve">There is no incident response plan, classification or set of roles. When a serious incident happens the response is improvised, evidence is lost and Lantern fails to notify the ICO within 72 hours or, once the Cyber Security and Resilience Bill is in force, its regulator within 24 hours.</t>
  </si>
  <si>
    <t xml:space="preserve">All in scope assets</t>
  </si>
  <si>
    <t xml:space="preserve">Any security incident</t>
  </si>
  <si>
    <t xml:space="preserve">No IR plan; no security category in the PSA; no evidence handling; no exercises</t>
  </si>
  <si>
    <t xml:space="preserve">Experienced engineers; incidents handled as ordinary service desk tickets</t>
  </si>
  <si>
    <t xml:space="preserve">Likely: an MSP of this size should expect at least one incident needing a structured response each year, and there is no way to recognise a reportable event. Major: penalty for late notification on top of a worse incident.</t>
  </si>
  <si>
    <t xml:space="preserve">Write an incident response plan with a notification decision tree for UK GDPR and the CSR Bill. Add a security category and severity field to the PSA. Define evidence preservation steps. Run a tabletop exercise on compromised RMM credentials. Hold a post incident review after every significant incident.</t>
  </si>
  <si>
    <t xml:space="preserve">A.5.24, A.5.25, A.5.26, A.5.27, A.5.28, A.6.8</t>
  </si>
  <si>
    <t xml:space="preserve">GAP-013, GAP-025</t>
  </si>
  <si>
    <t xml:space="preserve">Lantern fails to achieve ISO 27001 certification and keeps losing tenders</t>
  </si>
  <si>
    <t xml:space="preserve">Without a working ISMS, Lantern misses its certification target and continues to be excluded from tenders that require ISO/IEC 27001.</t>
  </si>
  <si>
    <t xml:space="preserve">Revenue pipeline; reputation with prospective clients</t>
  </si>
  <si>
    <t xml:space="preserve">Competitors who hold certification; tender requirements</t>
  </si>
  <si>
    <t xml:space="preserve">No ISMS scope, risk process, SoA, internal audit or management review; nobody resourced to deliver it</t>
  </si>
  <si>
    <t xml:space="preserve">N/A</t>
  </si>
  <si>
    <t xml:space="preserve">Board approved certification objective; Cyber Essentials held</t>
  </si>
  <si>
    <t xml:space="preserve">Almost certain on the current path: readiness is 24% and no one is assigned to the work. Major: about £620k of annual contract value has already been lost to this requirement.</t>
  </si>
  <si>
    <t xml:space="preserve">Appoint an Information Security Manager. Deliver roadmap phases 1 to 5 from the gap assessment. Consider external implementation support if the Q3 2027 target is to be protected.</t>
  </si>
  <si>
    <t xml:space="preserve">A.5.1, A.5.2, A.5.35; Clauses 4 to 10</t>
  </si>
  <si>
    <t xml:space="preserve">GAP-001, GAP-002, GAP-003, GAP-004, GAP-005, GAP-008</t>
  </si>
  <si>
    <t xml:space="preserve">Business risk included deliberately so the board sees certification in the same terms as the security risks.</t>
  </si>
  <si>
    <t xml:space="preserve">R-013</t>
  </si>
  <si>
    <t xml:space="preserve">Security depends on one person, the Technical Director</t>
  </si>
  <si>
    <t xml:space="preserve">All security knowledge and decisions sit with the Technical Director on top of a full operational role. If that person is absent, leaves or is overloaded, the security programme stalls and incidents have no owner.</t>
  </si>
  <si>
    <t xml:space="preserve">ISMS programme; incident response capability</t>
  </si>
  <si>
    <t xml:space="preserve">Departure, illness or overload of a key person</t>
  </si>
  <si>
    <t xml:space="preserve">No defined security roles; no deputy; knowledge not written down</t>
  </si>
  <si>
    <t xml:space="preserve">A</t>
  </si>
  <si>
    <t xml:space="preserve">None</t>
  </si>
  <si>
    <t xml:space="preserve">Possible: the workload is already more than one role can carry. Major: programme delivery and incident handling both depend on one individual.</t>
  </si>
  <si>
    <t xml:space="preserve">Appoint an Information Security Manager. Publish a responsibility matrix. Document key procedures. Name a deputy incident coordinator.</t>
  </si>
  <si>
    <t xml:space="preserve">A.5.2, A.5.3</t>
  </si>
  <si>
    <t xml:space="preserve">GAP-008</t>
  </si>
  <si>
    <t xml:space="preserve">R-014</t>
  </si>
  <si>
    <t xml:space="preserve">Known vulnerability in client facing tooling is exploited before it is patched</t>
  </si>
  <si>
    <t xml:space="preserve">A critical vulnerability is published for the RMM platform, the backup software or an internet facing system. Without a threat intelligence process or patch targets, Lantern does not act before attackers exploit it.</t>
  </si>
  <si>
    <t xml:space="preserve">RMM agents and server; backup platform; internet facing systems</t>
  </si>
  <si>
    <t xml:space="preserve">Opportunistic and targeted attackers using published vulnerabilities</t>
  </si>
  <si>
    <t xml:space="preserve">No threat intelligence process; no remediation targets; no vulnerability scanning of the internal estate</t>
  </si>
  <si>
    <t xml:space="preserve">Client patching automated through the RMM; some engineers receive vendor emails</t>
  </si>
  <si>
    <t xml:space="preserve">Possible: RMM vulnerabilities have been mass exploited within days of disclosure. Severe: the same estate wide reach as R-001.</t>
  </si>
  <si>
    <t xml:space="preserve">Subscribe to NCSC Early Warning and vendor security advisories with a weekly review. Set remediation targets (critical in 7 days, actively exploited within 48 hours through an emergency change). Scan the internal estate.</t>
  </si>
  <si>
    <t xml:space="preserve">A.5.7, A.8.8</t>
  </si>
  <si>
    <t xml:space="preserve">GAP-017, GAP-033</t>
  </si>
  <si>
    <t xml:space="preserve">R-015</t>
  </si>
  <si>
    <t xml:space="preserve">Staff are deceived by phishing or impersonation</t>
  </si>
  <si>
    <t xml:space="preserve">Staff, especially service desk engineers who handle password resets and access requests, are tricked by phishing emails or by callers pretending to be client staff. This leads to stolen credentials or unauthorised changes in client environments.</t>
  </si>
  <si>
    <t xml:space="preserve">Staff accounts; client accounts administered by the service desk</t>
  </si>
  <si>
    <t xml:space="preserve">Phishing; vishing; impersonation of client staff</t>
  </si>
  <si>
    <t xml:space="preserve">Awareness limited to an annual phishing test with 61% completion; no caller verification procedure; no web filtering; no safe reporting route</t>
  </si>
  <si>
    <t xml:space="preserve">Defender for Office 365 P1; MFA on Microsoft 365</t>
  </si>
  <si>
    <t xml:space="preserve">Likely: the service desk takes a high volume of requests and help desk social engineering is a common attack technique. Moderate: MFA on Microsoft 365 limits what a stolen Lantern password can do on its own.</t>
  </si>
  <si>
    <t xml:space="preserve">Quarterly role based awareness training with more depth for privileged engineers. Caller verification procedure for resets and access changes. Enable Defender web content filtering. Publish a no blame reporting route.</t>
  </si>
  <si>
    <t xml:space="preserve">A.6.3, A.6.8, A.8.23</t>
  </si>
  <si>
    <t xml:space="preserve">GAP-011, GAP-025, GAP-040</t>
  </si>
  <si>
    <t xml:space="preserve">R-016</t>
  </si>
  <si>
    <t xml:space="preserve">Laptop is lost or stolen</t>
  </si>
  <si>
    <t xml:space="preserve">A laptop is lost or stolen while a member of staff is working remotely or travelling.</t>
  </si>
  <si>
    <t xml:space="preserve">Laptops; data cached locally</t>
  </si>
  <si>
    <t xml:space="preserve">Theft; loss</t>
  </si>
  <si>
    <t xml:space="preserve">Mobile workforce</t>
  </si>
  <si>
    <t xml:space="preserve">BitLocker enforced; Intune managed with remote wipe; MFA and conditional access; data held in Microsoft 365 rather than locally</t>
  </si>
  <si>
    <t xml:space="preserve">Possible: laptops leave the office every day. Negligible: encryption and remote wipe limit the loss to the cost of the hardware.</t>
  </si>
  <si>
    <t xml:space="preserve">Accept. Write the remote working policy so the existing controls are documented (GAP-024). Monitor through the incident log.</t>
  </si>
  <si>
    <t xml:space="preserve">A.6.7, A.7.9, A.8.1</t>
  </si>
  <si>
    <t xml:space="preserve">GAP-024</t>
  </si>
  <si>
    <t xml:space="preserve">Accepted</t>
  </si>
  <si>
    <t xml:space="preserve">Accepted by the Technical Director as risk owner. Shown to demonstrate that existing controls can already bring a risk within appetite.</t>
  </si>
  <si>
    <t xml:space="preserve">R-017</t>
  </si>
  <si>
    <t xml:space="preserve">Unauthorised physical access to the legacy on premises host</t>
  </si>
  <si>
    <t xml:space="preserve">The Hyper-V host sits in an unlocked communications cupboard that the building's cleaning contractors can reach. Someone could tamper with, remove or damage it, affecting two client workloads.</t>
  </si>
  <si>
    <t xml:space="preserve">Legacy Hyper-V host; two client workloads</t>
  </si>
  <si>
    <t xml:space="preserve">Unauthorised person; accidental damage</t>
  </si>
  <si>
    <t xml:space="preserve">Unlocked cupboard; no access log; no CCTV; no environmental monitoring</t>
  </si>
  <si>
    <t xml:space="preserve">Serviced building has a staffed reception and floor access control</t>
  </si>
  <si>
    <t xml:space="preserve">Unlikely: building access control limits who can reach the cupboard. Moderate: only two clients are affected.</t>
  </si>
  <si>
    <t xml:space="preserve">Migrate the two workloads to Azure and decommission the host. Until then, fit a locking rack and keep an access log.</t>
  </si>
  <si>
    <t xml:space="preserve">A.7.1, A.7.2, A.7.4, A.7.8</t>
  </si>
  <si>
    <t xml:space="preserve">GAP-026</t>
  </si>
  <si>
    <t xml:space="preserve">Removing the host removes the risk and several physical controls from scope, which is cheaper than securing the cupboard.</t>
  </si>
  <si>
    <t xml:space="preserve">R-018</t>
  </si>
  <si>
    <t xml:space="preserve">Prolonged loss of ability to deliver services</t>
  </si>
  <si>
    <t xml:space="preserve">Loss of the Birmingham office, a long outage at a critical SaaS supplier or an Azure regional outage stops Lantern delivering services. With no business impact analysis and no tested plan, recovery is slow and SLAs are breached for every client.</t>
  </si>
  <si>
    <t xml:space="preserve">Service desk; critical SaaS platforms; Azure workloads</t>
  </si>
  <si>
    <t xml:space="preserve">Infrastructure failure; supplier outage; loss of site</t>
  </si>
  <si>
    <t xml:space="preserve">One page continuity plan from 2018; no BIA; no RTO or RPO; never tested</t>
  </si>
  <si>
    <t xml:space="preserve">Most systems are SaaS and reachable remotely; staff can work from home</t>
  </si>
  <si>
    <t xml:space="preserve">Unlikely: SaaS and remote working give a good level of natural resilience. Major: a long outage would breach SLAs for all 140 clients.</t>
  </si>
  <si>
    <t xml:space="preserve">Carry out a business impact analysis. Set RTO and RPO per service. Rewrite the continuity plan. Test it every year.</t>
  </si>
  <si>
    <t xml:space="preserve">A.5.29, A.5.30</t>
  </si>
  <si>
    <t xml:space="preserve">GAP-018</t>
  </si>
  <si>
    <t xml:space="preserve">R-019</t>
  </si>
  <si>
    <t xml:space="preserve">Unauthorised access to the office network</t>
  </si>
  <si>
    <t xml:space="preserve">The office Wi-Fi uses one shared key that has not changed since 2023 and is known to former staff. Anyone with the key can join the same flat network as corporate laptops and lab equipment.</t>
  </si>
  <si>
    <t xml:space="preserve">Office network; corporate laptops; legacy host</t>
  </si>
  <si>
    <t xml:space="preserve">Former employee; visitor; nearby attacker</t>
  </si>
  <si>
    <t xml:space="preserve">Shared key not rotated; no segregation; no guest network</t>
  </si>
  <si>
    <t xml:space="preserve">Defender firewall on managed laptops; building access control</t>
  </si>
  <si>
    <t xml:space="preserve">Possible: people who no longer work at Lantern know the key. Moderate: gives a foothold rather than direct access to client platforms.</t>
  </si>
  <si>
    <t xml:space="preserve">Rotate the key now. Move the corporate network to WPA2/3 Enterprise against Entra ID. Separate corporate, lab and guest VLANs. Provide a guest network with a rotating key.</t>
  </si>
  <si>
    <t xml:space="preserve">A.8.20, A.8.21, A.8.22</t>
  </si>
  <si>
    <t xml:space="preserve">GAP-034</t>
  </si>
  <si>
    <t xml:space="preserve">R-020</t>
  </si>
  <si>
    <t xml:space="preserve">Insider misuse by a member of staff who was not properly screened</t>
  </si>
  <si>
    <t xml:space="preserve">A member of staff with privileged client access, hired without adequate checks, misuses that access to take or sell client data, including health data held for healthcare clients.</t>
  </si>
  <si>
    <t xml:space="preserve">Client data; credential vault</t>
  </si>
  <si>
    <t xml:space="preserve">Malicious insider</t>
  </si>
  <si>
    <t xml:space="preserve">Screening limited to inconsistent reference checks; no security obligations in contracts; no DLP; no monitoring</t>
  </si>
  <si>
    <t xml:space="preserve">General confidentiality clause in employment contracts</t>
  </si>
  <si>
    <t xml:space="preserve">Unlikely: insider cases are rare, but nothing would deter or detect one. Severe: privileged access to special category health data.</t>
  </si>
  <si>
    <t xml:space="preserve">Introduce a screening standard including a basic DBS check for privileged roles. Add a security schedule to contracts and cover security breaches in the disciplinary policy. DLP and monitoring are delivered under R-006 and R-010.</t>
  </si>
  <si>
    <t xml:space="preserve">A.6.1, A.6.2, A.6.4, A.8.12</t>
  </si>
  <si>
    <t xml:space="preserve">GAP-022, GAP-023, GAP-037</t>
  </si>
  <si>
    <t xml:space="preserve">R-021</t>
  </si>
  <si>
    <t xml:space="preserve">Lantern cannot meet duties under the Cyber Security and Resilience Bill</t>
  </si>
  <si>
    <t xml:space="preserve">The Bill is expected to bring managed service providers into scope, with 24 hour and 72 hour incident reporting and turnover based penalties. If Lantern is in scope and cannot meet these duties, it faces penalties and loses the trust of clients in regulated sectors.</t>
  </si>
  <si>
    <t xml:space="preserve">Regulatory standing; client relationships</t>
  </si>
  <si>
    <t xml:space="preserve">Regulatory enforcement</t>
  </si>
  <si>
    <t xml:space="preserve">No incident response capability; no regulatory register; nobody tracking the Bill's progress</t>
  </si>
  <si>
    <t xml:space="preserve">Legal advisers have flagged that Lantern is likely to be in scope</t>
  </si>
  <si>
    <t xml:space="preserve">Possible: the Bill had not received Royal Assent at the time of assessment and the detailed thresholds are still to be set. Major: turnover based penalties and the reporting duty itself.</t>
  </si>
  <si>
    <t xml:space="preserve">Determine whether Lantern is in scope. Complete a readiness assessment (Artefact 04). Build the 24 hour reporting procedure into the incident response plan. Track the Bill in the legal and regulatory register.</t>
  </si>
  <si>
    <t xml:space="preserve">A.5.5, A.5.24, A.5.31</t>
  </si>
  <si>
    <t xml:space="preserve">GAP-013, GAP-019</t>
  </si>
  <si>
    <t xml:space="preserve">Reassess when the Bill receives Royal Assent and secondary legislation is published.</t>
  </si>
  <si>
    <t xml:space="preserve">Action ID</t>
  </si>
  <si>
    <t xml:space="preserve">Risk ID(s)</t>
  </si>
  <si>
    <t xml:space="preserve">Action</t>
  </si>
  <si>
    <t xml:space="preserve">Roadmap phase</t>
  </si>
  <si>
    <t xml:space="preserve">Gap refs</t>
  </si>
  <si>
    <t xml:space="preserve">Evidence of completion</t>
  </si>
  <si>
    <t xml:space="preserve">TP-01</t>
  </si>
  <si>
    <t xml:space="preserve">Enforce phishing resistant MFA on the RMM platform as an emergency change</t>
  </si>
  <si>
    <t xml:space="preserve">Not started</t>
  </si>
  <si>
    <t xml:space="preserve">GAP-030</t>
  </si>
  <si>
    <t xml:space="preserve">RMM security settings export showing MFA enforced for every user</t>
  </si>
  <si>
    <t xml:space="preserve">TP-02</t>
  </si>
  <si>
    <t xml:space="preserve">R-001, R-009</t>
  </si>
  <si>
    <t xml:space="preserve">Enforce MFA on the backup console</t>
  </si>
  <si>
    <t xml:space="preserve">Console settings screenshot and user list</t>
  </si>
  <si>
    <t xml:space="preserve">TP-03</t>
  </si>
  <si>
    <t xml:space="preserve">Reconcile every account on RMM, vault, backup console, PSA and Partner Center with the HR roster and disable orphaned accounts</t>
  </si>
  <si>
    <t xml:space="preserve">GAP-021</t>
  </si>
  <si>
    <t xml:space="preserve">Signed reconciliation record per platform</t>
  </si>
  <si>
    <t xml:space="preserve">TP-04</t>
  </si>
  <si>
    <t xml:space="preserve">R-001, R-003</t>
  </si>
  <si>
    <t xml:space="preserve">Replace shared credentials on six client tenancies with named accounts</t>
  </si>
  <si>
    <t xml:space="preserve">Account list per tenancy showing named users only</t>
  </si>
  <si>
    <t xml:space="preserve">TP-05</t>
  </si>
  <si>
    <t xml:space="preserve">Rotate the office Wi-Fi key</t>
  </si>
  <si>
    <t xml:space="preserve">Change record in the PSA</t>
  </si>
  <si>
    <t xml:space="preserve">TP-06</t>
  </si>
  <si>
    <t xml:space="preserve">R-012, R-013</t>
  </si>
  <si>
    <t xml:space="preserve">Appoint an Information Security Manager with at least 0.4 FTE allocated</t>
  </si>
  <si>
    <t xml:space="preserve">Signed role description and allocation</t>
  </si>
  <si>
    <t xml:space="preserve">TP-07</t>
  </si>
  <si>
    <t xml:space="preserve">Approve ISMS scope, risk methodology and risk appetite</t>
  </si>
  <si>
    <t xml:space="preserve">GAP-001, GAP-002</t>
  </si>
  <si>
    <t xml:space="preserve">Leadership meeting minutes recording approval</t>
  </si>
  <si>
    <t xml:space="preserve">TP-08</t>
  </si>
  <si>
    <t xml:space="preserve">Produce the full Statement of Applicability from this register</t>
  </si>
  <si>
    <t xml:space="preserve">Information Security Manager</t>
  </si>
  <si>
    <t xml:space="preserve">GAP-003</t>
  </si>
  <si>
    <t xml:space="preserve">SoA version 1.0 approved</t>
  </si>
  <si>
    <t xml:space="preserve">TP-09</t>
  </si>
  <si>
    <t xml:space="preserve">Introduce a leaver checklist naming every platform with a 4 hour revocation target and Technical Director sign off</t>
  </si>
  <si>
    <t xml:space="preserve">Procedure plus the first three completed checklists</t>
  </si>
  <si>
    <t xml:space="preserve">TP-10</t>
  </si>
  <si>
    <t xml:space="preserve">Subscribe to NCSC Early Warning and vendor advisories; add a weekly review to the technical meeting</t>
  </si>
  <si>
    <t xml:space="preserve">GAP-017</t>
  </si>
  <si>
    <t xml:space="preserve">Subscription confirmation and meeting notes</t>
  </si>
  <si>
    <t xml:space="preserve">TP-11</t>
  </si>
  <si>
    <t xml:space="preserve">Introduce a caller verification procedure for password resets and access changes</t>
  </si>
  <si>
    <t xml:space="preserve">GAP-011</t>
  </si>
  <si>
    <t xml:space="preserve">Procedure and service desk briefing record</t>
  </si>
  <si>
    <t xml:space="preserve">TP-12</t>
  </si>
  <si>
    <t xml:space="preserve">Write a backup policy, confirm immutability and restore test Lantern's own data</t>
  </si>
  <si>
    <t xml:space="preserve">GAP-035</t>
  </si>
  <si>
    <t xml:space="preserve">Policy, immutability setting evidence, restore test record</t>
  </si>
  <si>
    <t xml:space="preserve">TP-13</t>
  </si>
  <si>
    <t xml:space="preserve">R-002, R-003</t>
  </si>
  <si>
    <t xml:space="preserve">Run the first quarterly access review across critical platforms</t>
  </si>
  <si>
    <t xml:space="preserve">Signed review with changes made</t>
  </si>
  <si>
    <t xml:space="preserve">TP-14</t>
  </si>
  <si>
    <t xml:space="preserve">Write and approve an access control policy</t>
  </si>
  <si>
    <t xml:space="preserve">Approved policy</t>
  </si>
  <si>
    <t xml:space="preserve">TP-15</t>
  </si>
  <si>
    <t xml:space="preserve">Complete the GDAP migration for the remaining 41 clients and remove legacy delegated admin</t>
  </si>
  <si>
    <t xml:space="preserve">Partner Center report showing no legacy relationships</t>
  </si>
  <si>
    <t xml:space="preserve">TP-16</t>
  </si>
  <si>
    <t xml:space="preserve">Introduce just in time elevation and monitored break glass accounts for the credential vault</t>
  </si>
  <si>
    <t xml:space="preserve">Vault configuration and test of break glass alert</t>
  </si>
  <si>
    <t xml:space="preserve">TP-17</t>
  </si>
  <si>
    <t xml:space="preserve">Write a change management procedure with standard, normal and emergency categories</t>
  </si>
  <si>
    <t xml:space="preserve">GAP-031</t>
  </si>
  <si>
    <t xml:space="preserve">Approved procedure and first month of change records</t>
  </si>
  <si>
    <t xml:space="preserve">TP-18</t>
  </si>
  <si>
    <t xml:space="preserve">Move scripts to a version controlled repository with peer review and a pilot group</t>
  </si>
  <si>
    <t xml:space="preserve">GAP-038</t>
  </si>
  <si>
    <t xml:space="preserve">Repository with review history; pilot group definition</t>
  </si>
  <si>
    <t xml:space="preserve">TP-19</t>
  </si>
  <si>
    <t xml:space="preserve">R-005, R-019</t>
  </si>
  <si>
    <t xml:space="preserve">Segregate corporate, lab and guest networks and move to WPA2/3 Enterprise</t>
  </si>
  <si>
    <t xml:space="preserve">Network diagram and configuration export</t>
  </si>
  <si>
    <t xml:space="preserve">TP-20</t>
  </si>
  <si>
    <t xml:space="preserve">Bring the seven lab devices under Intune or isolate them on the lab network</t>
  </si>
  <si>
    <t xml:space="preserve">GAP-033</t>
  </si>
  <si>
    <t xml:space="preserve">Intune device list or lab network configuration</t>
  </si>
  <si>
    <t xml:space="preserve">TP-21</t>
  </si>
  <si>
    <t xml:space="preserve">Issue a data processing addendum to the 22 legacy contract clients</t>
  </si>
  <si>
    <t xml:space="preserve">Signed addenda tracker</t>
  </si>
  <si>
    <t xml:space="preserve">TP-22</t>
  </si>
  <si>
    <t xml:space="preserve">R-007, R-021</t>
  </si>
  <si>
    <t xml:space="preserve">Build the legal and regulatory register and Article 30 records</t>
  </si>
  <si>
    <t xml:space="preserve">Register and records of processing</t>
  </si>
  <si>
    <t xml:space="preserve">TP-23</t>
  </si>
  <si>
    <t xml:space="preserve">Build the supplier register with criticality tiers</t>
  </si>
  <si>
    <t xml:space="preserve">GAP-012</t>
  </si>
  <si>
    <t xml:space="preserve">Approved supplier register</t>
  </si>
  <si>
    <t xml:space="preserve">TP-24</t>
  </si>
  <si>
    <t xml:space="preserve">Assess the credential vault supplier, then the RMM, PSA and backup suppliers</t>
  </si>
  <si>
    <t xml:space="preserve">Completed third party risk assessments (see Artefact 03)</t>
  </si>
  <si>
    <t xml:space="preserve">TP-25</t>
  </si>
  <si>
    <t xml:space="preserve">Run the first quarterly sampled restore test of client backups</t>
  </si>
  <si>
    <t xml:space="preserve">Restore test record with time to restore</t>
  </si>
  <si>
    <t xml:space="preserve">TP-26</t>
  </si>
  <si>
    <t xml:space="preserve">R-011, R-021</t>
  </si>
  <si>
    <t xml:space="preserve">Write the incident response plan including a UK GDPR and CSR Bill notification decision tree</t>
  </si>
  <si>
    <t xml:space="preserve">GAP-013</t>
  </si>
  <si>
    <t xml:space="preserve">Approved plan</t>
  </si>
  <si>
    <t xml:space="preserve">TP-27</t>
  </si>
  <si>
    <t xml:space="preserve">Add a security incident category and severity field to the PSA</t>
  </si>
  <si>
    <t xml:space="preserve">PSA configuration screenshot</t>
  </si>
  <si>
    <t xml:space="preserve">TP-28</t>
  </si>
  <si>
    <t xml:space="preserve">Run a tabletop exercise on compromised RMM credentials</t>
  </si>
  <si>
    <t xml:space="preserve">Exercise report with lessons and actions</t>
  </si>
  <si>
    <t xml:space="preserve">TP-29</t>
  </si>
  <si>
    <t xml:space="preserve">Complete a business impact analysis, set RTO and RPO, and rewrite the continuity plan</t>
  </si>
  <si>
    <t xml:space="preserve">BIA, approved plan</t>
  </si>
  <si>
    <t xml:space="preserve">TP-30</t>
  </si>
  <si>
    <t xml:space="preserve">Introduce a screening standard including a basic DBS check for privileged roles</t>
  </si>
  <si>
    <t xml:space="preserve">GAP-022</t>
  </si>
  <si>
    <t xml:space="preserve">Approved standard and screening records for new starters</t>
  </si>
  <si>
    <t xml:space="preserve">TP-31</t>
  </si>
  <si>
    <t xml:space="preserve">R-005, R-014</t>
  </si>
  <si>
    <t xml:space="preserve">Introduce vulnerability scanning and remediation targets by severity</t>
  </si>
  <si>
    <t xml:space="preserve">Scan reports and remediation tracker</t>
  </si>
  <si>
    <t xml:space="preserve">TP-32</t>
  </si>
  <si>
    <t xml:space="preserve">Document exit plans for the four critical platforms</t>
  </si>
  <si>
    <t xml:space="preserve">GAP-020</t>
  </si>
  <si>
    <t xml:space="preserve">Exit plan per platform</t>
  </si>
  <si>
    <t xml:space="preserve">TP-33</t>
  </si>
  <si>
    <t xml:space="preserve">R-005, R-017</t>
  </si>
  <si>
    <t xml:space="preserve">Migrate the two client workloads to Azure and decommission the legacy host</t>
  </si>
  <si>
    <t xml:space="preserve">Decommission record and disposal certificate</t>
  </si>
  <si>
    <t xml:space="preserve">TP-34</t>
  </si>
  <si>
    <t xml:space="preserve">Adopt the classification scheme and apply sensitivity labels</t>
  </si>
  <si>
    <t xml:space="preserve">GAP-015</t>
  </si>
  <si>
    <t xml:space="preserve">Approved scheme; label policy configuration</t>
  </si>
  <si>
    <t xml:space="preserve">TP-35</t>
  </si>
  <si>
    <t xml:space="preserve">R-006, R-020</t>
  </si>
  <si>
    <t xml:space="preserve">Run Microsoft 365 DLP in audit mode then enforce; block removable media</t>
  </si>
  <si>
    <t xml:space="preserve">GAP-037</t>
  </si>
  <si>
    <t xml:space="preserve">DLP policy and incident reports</t>
  </si>
  <si>
    <t xml:space="preserve">TP-36</t>
  </si>
  <si>
    <t xml:space="preserve">Deploy Microsoft Sentinel with connectors for all critical platforms and 12 month retention</t>
  </si>
  <si>
    <t xml:space="preserve">Connector list and retention setting</t>
  </si>
  <si>
    <t xml:space="preserve">TP-37</t>
  </si>
  <si>
    <t xml:space="preserve">Build the minimum alert set and a daily triage procedure</t>
  </si>
  <si>
    <t xml:space="preserve">Analytics rules and triage log</t>
  </si>
  <si>
    <t xml:space="preserve">TP-38</t>
  </si>
  <si>
    <t xml:space="preserve">Start quarterly role based awareness training and enable web content filtering</t>
  </si>
  <si>
    <t xml:space="preserve">GAP-011, GAP-040</t>
  </si>
  <si>
    <t xml:space="preserve">Training completion report; filtering policy</t>
  </si>
  <si>
    <t xml:space="preserve">TP-39</t>
  </si>
  <si>
    <t xml:space="preserve">Hold the first ISMS management review against the Clause 9.3 inputs</t>
  </si>
  <si>
    <t xml:space="preserve">GAP-005</t>
  </si>
  <si>
    <t xml:space="preserve">Minutes structured on Clause 9.3</t>
  </si>
  <si>
    <t xml:space="preserve">TP-40</t>
  </si>
  <si>
    <t xml:space="preserve">Complete the first internal audit using an external auditor</t>
  </si>
  <si>
    <t xml:space="preserve">GAP-004</t>
  </si>
  <si>
    <t xml:space="preserve">Audit report and corrective action log</t>
  </si>
  <si>
    <t xml:space="preserve">TP-41</t>
  </si>
  <si>
    <t xml:space="preserve">R-001, R-008</t>
  </si>
  <si>
    <t xml:space="preserve">Enforce MFA for all users of the credential vault and move the account owner and notices to the security mailbox</t>
  </si>
  <si>
    <t xml:space="preserve">TPRA-001 (TPR-06, TPR-10)</t>
  </si>
  <si>
    <t xml:space="preserve">Vault admin console export showing MFA enforced and new account owner</t>
  </si>
  <si>
    <t xml:space="preserve">TP-42</t>
  </si>
  <si>
    <t xml:space="preserve">R-008, R-011</t>
  </si>
  <si>
    <t xml:space="preserve">Agree a security schedule with the vault supplier at renewal, including 24 hour incident notification</t>
  </si>
  <si>
    <t xml:space="preserve">TPRA-001 (TPR-01, TPR-05)</t>
  </si>
  <si>
    <t xml:space="preserve">Signed contract schedule</t>
  </si>
  <si>
    <t xml:space="preserve">TP-43</t>
  </si>
  <si>
    <t xml:space="preserve">Remove stored tenant administrator credentials from the vault after GDAP migration and deploy Windows LAPS to managed client devices</t>
  </si>
  <si>
    <t xml:space="preserve">TPRA-001 (TPR-09)</t>
  </si>
  <si>
    <t xml:space="preserve">Vault inventory showing no tenant admin credentials; LAPS coverage report</t>
  </si>
  <si>
    <t xml:space="preserve">Roadmap phases match the gap assessment: 0 Immediate, 1 Foundation, 2 Core controls, 3 Supporting controls, 4 Operate and audit. Status is the only column expected to change week to week.</t>
  </si>
  <si>
    <t xml:space="preserve">Author</t>
  </si>
  <si>
    <t xml:space="preserve">Change</t>
  </si>
  <si>
    <t xml:space="preserve">Approved by</t>
  </si>
  <si>
    <t xml:space="preserve">1.0</t>
  </si>
  <si>
    <t xml:space="preserve">First issue. 21 risks identified from the October 2026 gap assessment. Methodology and appetite proposed for approval.</t>
  </si>
  <si>
    <t xml:space="preserve">Pending (Managing Director)</t>
  </si>
  <si>
    <t xml:space="preserve">R-008 updated after third party assessment TPRA-001: target impact reduced from 5 to 3 by removing tenant admin credentials from the vault, bringing the target within appetite. Actions TP-41 to TP-43 added.</t>
  </si>
</sst>
</file>

<file path=xl/styles.xml><?xml version="1.0" encoding="utf-8"?>
<styleSheet xmlns="http://schemas.openxmlformats.org/spreadsheetml/2006/main">
  <numFmts count="7">
    <numFmt numFmtId="164" formatCode="General"/>
    <numFmt numFmtId="165" formatCode="0;;&quot;&quot;"/>
    <numFmt numFmtId="166" formatCode="0"/>
    <numFmt numFmtId="167" formatCode="General"/>
    <numFmt numFmtId="168" formatCode="0.0"/>
    <numFmt numFmtId="169" formatCode="0.0%"/>
    <numFmt numFmtId="170" formatCode="dd\ mmm\ yyyy"/>
  </numFmts>
  <fonts count="19">
    <font>
      <sz val="11"/>
      <color theme="1"/>
      <name val="Calibri"/>
      <family val="2"/>
      <charset val="1"/>
    </font>
    <font>
      <sz val="10"/>
      <name val="Arial"/>
      <family val="0"/>
    </font>
    <font>
      <sz val="10"/>
      <name val="Arial"/>
      <family val="0"/>
    </font>
    <font>
      <sz val="10"/>
      <name val="Arial"/>
      <family val="0"/>
    </font>
    <font>
      <b val="true"/>
      <sz val="16"/>
      <color rgb="FF1F3864"/>
      <name val="Arial"/>
      <family val="0"/>
      <charset val="1"/>
    </font>
    <font>
      <i val="true"/>
      <sz val="10"/>
      <color rgb="FF595959"/>
      <name val="Arial"/>
      <family val="0"/>
      <charset val="1"/>
    </font>
    <font>
      <b val="true"/>
      <sz val="10"/>
      <color rgb="FF000000"/>
      <name val="Arial"/>
      <family val="0"/>
      <charset val="1"/>
    </font>
    <font>
      <sz val="10"/>
      <color rgb="FF000000"/>
      <name val="Arial"/>
      <family val="0"/>
      <charset val="1"/>
    </font>
    <font>
      <b val="true"/>
      <sz val="11"/>
      <color rgb="FF1F3864"/>
      <name val="Arial"/>
      <family val="0"/>
      <charset val="1"/>
    </font>
    <font>
      <i val="true"/>
      <sz val="10"/>
      <color rgb="FF000000"/>
      <name val="Arial"/>
      <family val="0"/>
      <charset val="1"/>
    </font>
    <font>
      <b val="true"/>
      <sz val="12"/>
      <color rgb="FF1F3864"/>
      <name val="Arial"/>
      <family val="0"/>
      <charset val="1"/>
    </font>
    <font>
      <b val="true"/>
      <sz val="12"/>
      <color rgb="FF000000"/>
      <name val="Arial"/>
      <family val="0"/>
      <charset val="1"/>
    </font>
    <font>
      <b val="true"/>
      <sz val="12"/>
      <color rgb="FFFFFFFF"/>
      <name val="Arial"/>
      <family val="0"/>
      <charset val="1"/>
    </font>
    <font>
      <i val="true"/>
      <sz val="9"/>
      <color rgb="FF000000"/>
      <name val="Arial"/>
      <family val="0"/>
      <charset val="1"/>
    </font>
    <font>
      <b val="true"/>
      <sz val="10"/>
      <color rgb="FFFFFFFF"/>
      <name val="Arial"/>
      <family val="0"/>
      <charset val="1"/>
    </font>
    <font>
      <b val="true"/>
      <sz val="11"/>
      <color rgb="FFFFFFFF"/>
      <name val="Arial"/>
      <family val="0"/>
      <charset val="1"/>
    </font>
    <font>
      <b val="true"/>
      <sz val="11"/>
      <color rgb="FF000000"/>
      <name val="Arial"/>
      <family val="0"/>
      <charset val="1"/>
    </font>
    <font>
      <b val="true"/>
      <sz val="11"/>
      <color rgb="FF0000FF"/>
      <name val="Arial"/>
      <family val="0"/>
      <charset val="1"/>
    </font>
    <font>
      <sz val="11"/>
      <color rgb="FF0000FF"/>
      <name val="Arial"/>
      <family val="0"/>
      <charset val="1"/>
    </font>
  </fonts>
  <fills count="7">
    <fill>
      <patternFill patternType="none"/>
    </fill>
    <fill>
      <patternFill patternType="gray125"/>
    </fill>
    <fill>
      <patternFill patternType="solid">
        <fgColor rgb="FFFFE699"/>
        <bgColor rgb="FFFFFFCC"/>
      </patternFill>
    </fill>
    <fill>
      <patternFill patternType="solid">
        <fgColor rgb="FFF4B183"/>
        <bgColor rgb="FFFF99CC"/>
      </patternFill>
    </fill>
    <fill>
      <patternFill patternType="solid">
        <fgColor rgb="FFC00000"/>
        <bgColor rgb="FF800000"/>
      </patternFill>
    </fill>
    <fill>
      <patternFill patternType="solid">
        <fgColor rgb="FFC6E0B4"/>
        <bgColor rgb="FFBFBFBF"/>
      </patternFill>
    </fill>
    <fill>
      <patternFill patternType="solid">
        <fgColor rgb="FF1F3864"/>
        <bgColor rgb="FF333399"/>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center" vertical="bottom" textRotation="0" wrapText="false" indent="0" shrinkToFit="false"/>
      <protection locked="true" hidden="false"/>
    </xf>
    <xf numFmtId="164" fontId="6" fillId="0" borderId="0" xfId="0" applyFont="true" applyBorder="false" applyAlignment="true" applyProtection="false">
      <alignment horizontal="right" vertical="bottom" textRotation="0" wrapText="false" indent="0" shrinkToFit="false"/>
      <protection locked="true" hidden="false"/>
    </xf>
    <xf numFmtId="165" fontId="11" fillId="2" borderId="1" xfId="0" applyFont="true" applyBorder="true" applyAlignment="true" applyProtection="false">
      <alignment horizontal="center" vertical="center" textRotation="0" wrapText="false" indent="0" shrinkToFit="false"/>
      <protection locked="true" hidden="false"/>
    </xf>
    <xf numFmtId="165" fontId="11" fillId="3" borderId="1" xfId="0" applyFont="true" applyBorder="true" applyAlignment="true" applyProtection="false">
      <alignment horizontal="center" vertical="center" textRotation="0" wrapText="false" indent="0" shrinkToFit="false"/>
      <protection locked="true" hidden="false"/>
    </xf>
    <xf numFmtId="165" fontId="12" fillId="4" borderId="1" xfId="0" applyFont="true" applyBorder="true" applyAlignment="true" applyProtection="false">
      <alignment horizontal="center" vertical="center" textRotation="0" wrapText="false" indent="0" shrinkToFit="false"/>
      <protection locked="true" hidden="false"/>
    </xf>
    <xf numFmtId="165" fontId="11" fillId="5" borderId="1"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6" borderId="1" xfId="0" applyFont="true" applyBorder="true" applyAlignment="true" applyProtection="false">
      <alignment horizontal="center"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true" applyProtection="false">
      <alignment horizontal="center" vertical="top" textRotation="0" wrapText="true" indent="0" shrinkToFit="false"/>
      <protection locked="true" hidden="false"/>
    </xf>
    <xf numFmtId="164" fontId="15" fillId="4"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true" applyProtection="false">
      <alignment horizontal="center" vertical="top" textRotation="0" wrapText="true" indent="0" shrinkToFit="false"/>
      <protection locked="true" hidden="false"/>
    </xf>
    <xf numFmtId="164" fontId="16" fillId="3"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true" applyProtection="false">
      <alignment horizontal="center" vertical="top" textRotation="0" wrapText="true" indent="0" shrinkToFit="false"/>
      <protection locked="true" hidden="false"/>
    </xf>
    <xf numFmtId="164" fontId="16" fillId="2" borderId="1" xfId="0" applyFont="true" applyBorder="true" applyAlignment="false" applyProtection="false">
      <alignment horizontal="general" vertical="bottom" textRotation="0" wrapText="false" indent="0" shrinkToFit="false"/>
      <protection locked="true" hidden="false"/>
    </xf>
    <xf numFmtId="164" fontId="16" fillId="5"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true" applyProtection="false">
      <alignment horizontal="center" vertical="top" textRotation="0" wrapText="true" indent="0" shrinkToFit="false"/>
      <protection locked="true" hidden="false"/>
    </xf>
    <xf numFmtId="167" fontId="6" fillId="0" borderId="1" xfId="0" applyFont="true" applyBorder="true" applyAlignment="true" applyProtection="false">
      <alignment horizontal="center" vertical="top" textRotation="0" wrapText="true" indent="0" shrinkToFit="false"/>
      <protection locked="true" hidden="false"/>
    </xf>
    <xf numFmtId="164" fontId="14" fillId="6"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4" fillId="6" borderId="0" xfId="0" applyFont="true" applyBorder="false" applyAlignment="false" applyProtection="false">
      <alignment horizontal="general" vertical="bottom" textRotation="0" wrapText="false" indent="0" shrinkToFit="false"/>
      <protection locked="true" hidden="false"/>
    </xf>
    <xf numFmtId="164" fontId="14" fillId="6" borderId="0"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14" fillId="6" borderId="1" xfId="0" applyFont="true" applyBorder="true" applyAlignment="true" applyProtection="false">
      <alignment horizontal="general" vertical="center" textRotation="0" wrapText="true" indent="0" shrinkToFit="false"/>
      <protection locked="true" hidden="false"/>
    </xf>
    <xf numFmtId="164" fontId="15" fillId="4" borderId="1" xfId="0" applyFont="true" applyBorder="true" applyAlignment="true" applyProtection="false">
      <alignment horizontal="left" vertical="top" textRotation="0" wrapText="true" indent="0" shrinkToFit="false"/>
      <protection locked="true" hidden="false"/>
    </xf>
    <xf numFmtId="164" fontId="16" fillId="3" borderId="1" xfId="0" applyFont="true" applyBorder="true" applyAlignment="true" applyProtection="false">
      <alignment horizontal="left" vertical="top" textRotation="0" wrapText="true" indent="0" shrinkToFit="false"/>
      <protection locked="true" hidden="false"/>
    </xf>
    <xf numFmtId="164" fontId="16" fillId="2" borderId="1" xfId="0" applyFont="true" applyBorder="true" applyAlignment="true" applyProtection="false">
      <alignment horizontal="left" vertical="top" textRotation="0" wrapText="true" indent="0" shrinkToFit="false"/>
      <protection locked="true" hidden="false"/>
    </xf>
    <xf numFmtId="164" fontId="16" fillId="5" borderId="1" xfId="0" applyFont="true" applyBorder="true" applyAlignment="true" applyProtection="false">
      <alignment horizontal="left" vertical="top" textRotation="0" wrapText="true" indent="0" shrinkToFit="false"/>
      <protection locked="true" hidden="false"/>
    </xf>
    <xf numFmtId="164" fontId="16" fillId="2" borderId="1" xfId="0" applyFont="true" applyBorder="true" applyAlignment="true" applyProtection="false">
      <alignment horizontal="center" vertical="center" textRotation="0" wrapText="false" indent="0" shrinkToFit="false"/>
      <protection locked="true" hidden="false"/>
    </xf>
    <xf numFmtId="164" fontId="16" fillId="3" borderId="1" xfId="0" applyFont="true" applyBorder="true" applyAlignment="true" applyProtection="false">
      <alignment horizontal="center" vertical="center" textRotation="0" wrapText="false" indent="0" shrinkToFit="false"/>
      <protection locked="true" hidden="false"/>
    </xf>
    <xf numFmtId="164" fontId="15" fillId="4" borderId="1" xfId="0" applyFont="true" applyBorder="true" applyAlignment="true" applyProtection="false">
      <alignment horizontal="center" vertical="center" textRotation="0" wrapText="false" indent="0" shrinkToFit="false"/>
      <protection locked="true" hidden="false"/>
    </xf>
    <xf numFmtId="164" fontId="16" fillId="5" borderId="1" xfId="0" applyFont="true" applyBorder="true" applyAlignment="true" applyProtection="false">
      <alignment horizontal="center" vertical="center" textRotation="0" wrapText="false" indent="0" shrinkToFit="false"/>
      <protection locked="true" hidden="false"/>
    </xf>
    <xf numFmtId="164" fontId="17" fillId="0" borderId="1" xfId="0" applyFont="true" applyBorder="true" applyAlignment="true" applyProtection="false">
      <alignment horizontal="center" vertical="top" textRotation="0" wrapText="false" indent="0" shrinkToFit="false"/>
      <protection locked="true" hidden="false"/>
    </xf>
    <xf numFmtId="164" fontId="14" fillId="6" borderId="1" xfId="0" applyFont="true" applyBorder="true" applyAlignment="true" applyProtection="false">
      <alignment horizontal="center" vertical="center" textRotation="0" wrapText="true" indent="0" shrinkToFit="false"/>
      <protection locked="true" hidden="false"/>
    </xf>
    <xf numFmtId="164" fontId="18" fillId="0" borderId="1" xfId="0" applyFont="true" applyBorder="true" applyAlignment="true" applyProtection="false">
      <alignment horizontal="center" vertical="top" textRotation="0" wrapText="true" indent="0" shrinkToFit="false"/>
      <protection locked="true" hidden="false"/>
    </xf>
    <xf numFmtId="170" fontId="7" fillId="0" borderId="1" xfId="0" applyFont="true" applyBorder="true" applyAlignment="true" applyProtection="false">
      <alignment horizontal="center" vertical="top" textRotation="0" wrapText="tru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70" fontId="18" fillId="0" borderId="1" xfId="0" applyFont="true" applyBorder="true" applyAlignment="true" applyProtection="false">
      <alignment horizontal="center" vertical="top" textRotation="0" wrapText="true" indent="0" shrinkToFit="false"/>
      <protection locked="true" hidden="false"/>
    </xf>
    <xf numFmtId="164" fontId="9" fillId="0" borderId="0" xfId="0" applyFont="true" applyBorder="true" applyAlignment="true" applyProtection="false">
      <alignment horizontal="general" vertical="bottom" textRotation="0" wrapText="true" indent="0" shrinkToFit="false"/>
      <protection locked="true" hidden="false"/>
    </xf>
    <xf numFmtId="170" fontId="7" fillId="0" borderId="1" xfId="0" applyFont="true" applyBorder="true" applyAlignment="true" applyProtection="false">
      <alignment horizontal="left"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6">
    <dxf>
      <font>
        <name val="Arial"/>
        <charset val="1"/>
        <family val="0"/>
        <b val="1"/>
        <color rgb="FFFFFFFF"/>
      </font>
      <fill>
        <patternFill>
          <bgColor rgb="FFC00000"/>
        </patternFill>
      </fill>
    </dxf>
    <dxf>
      <font>
        <name val="Arial"/>
        <charset val="1"/>
        <family val="0"/>
        <b val="1"/>
        <color rgb="FF000000"/>
      </font>
      <fill>
        <patternFill>
          <bgColor rgb="FFF4B183"/>
        </patternFill>
      </fill>
    </dxf>
    <dxf>
      <font>
        <name val="Arial"/>
        <charset val="1"/>
        <family val="0"/>
        <b val="1"/>
        <color rgb="FF000000"/>
      </font>
      <fill>
        <patternFill>
          <bgColor rgb="FFFFE699"/>
        </patternFill>
      </fill>
    </dxf>
    <dxf>
      <font>
        <name val="Arial"/>
        <charset val="1"/>
        <family val="0"/>
        <b val="1"/>
        <color rgb="FF000000"/>
      </font>
      <fill>
        <patternFill>
          <bgColor rgb="FFC6E0B4"/>
        </patternFill>
      </fill>
    </dxf>
    <dxf>
      <fill>
        <patternFill patternType="solid">
          <fgColor rgb="FF1F386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000FF"/>
          <bgColor rgb="FF000000"/>
        </patternFill>
      </fill>
    </dxf>
    <dxf>
      <fill>
        <patternFill patternType="solid">
          <fgColor rgb="FFC00000"/>
          <bgColor rgb="FF000000"/>
        </patternFill>
      </fill>
    </dxf>
    <dxf>
      <fill>
        <patternFill patternType="solid">
          <fgColor rgb="FFC6E0B4"/>
          <bgColor rgb="FF000000"/>
        </patternFill>
      </fill>
    </dxf>
    <dxf>
      <fill>
        <patternFill patternType="solid">
          <fgColor rgb="FFF4B183"/>
          <bgColor rgb="FF000000"/>
        </patternFill>
      </fill>
    </dxf>
    <dxf>
      <fill>
        <patternFill patternType="solid">
          <fgColor rgb="FFFFE699"/>
          <bgColor rgb="FF000000"/>
        </patternFill>
      </fill>
    </dxf>
    <dxf>
      <fill>
        <patternFill patternType="solid">
          <fgColor rgb="FF375623"/>
          <bgColor rgb="FF000000"/>
        </patternFill>
      </fill>
    </dxf>
    <dxf>
      <font>
        <name val="Arial"/>
        <charset val="1"/>
        <family val="0"/>
        <b val="1"/>
        <color rgb="FFC00000"/>
      </font>
    </dxf>
    <dxf>
      <font>
        <name val="Arial"/>
        <charset val="1"/>
        <family val="0"/>
        <b val="1"/>
        <color rgb="FF375623"/>
      </font>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0B4"/>
      <rgbColor rgb="FFFFE699"/>
      <rgbColor rgb="FF99CCFF"/>
      <rgbColor rgb="FFFF99CC"/>
      <rgbColor rgb="FFCC99FF"/>
      <rgbColor rgb="FFF4B183"/>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4.xml.rels><?xml version="1.0" encoding="UTF-8"?>
<Relationships xmlns="http://schemas.openxmlformats.org/package/2006/relationships"><Relationship Id="rId1" Type="http://schemas.openxmlformats.org/officeDocument/2006/relationships/drawing" Target="../drawings/drawing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B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95"/>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t="s">
        <v>3</v>
      </c>
    </row>
    <row r="5" customFormat="false" ht="15" hidden="false" customHeight="false" outlineLevel="0" collapsed="false">
      <c r="A5" s="3" t="s">
        <v>4</v>
      </c>
      <c r="B5" s="4" t="s">
        <v>5</v>
      </c>
    </row>
    <row r="6" customFormat="false" ht="15" hidden="false" customHeight="false" outlineLevel="0" collapsed="false">
      <c r="A6" s="3" t="s">
        <v>6</v>
      </c>
      <c r="B6" s="4" t="s">
        <v>7</v>
      </c>
    </row>
    <row r="7" customFormat="false" ht="15" hidden="false" customHeight="false" outlineLevel="0" collapsed="false">
      <c r="A7" s="3" t="s">
        <v>8</v>
      </c>
      <c r="B7" s="4" t="s">
        <v>9</v>
      </c>
    </row>
    <row r="8" customFormat="false" ht="15" hidden="false" customHeight="false" outlineLevel="0" collapsed="false">
      <c r="A8" s="3" t="s">
        <v>10</v>
      </c>
      <c r="B8" s="4" t="s">
        <v>11</v>
      </c>
    </row>
    <row r="9" customFormat="false" ht="15" hidden="false" customHeight="false" outlineLevel="0" collapsed="false">
      <c r="A9" s="3" t="s">
        <v>12</v>
      </c>
      <c r="B9" s="4" t="s">
        <v>13</v>
      </c>
    </row>
    <row r="10" customFormat="false" ht="23.85" hidden="false" customHeight="false" outlineLevel="0" collapsed="false">
      <c r="A10" s="3" t="s">
        <v>14</v>
      </c>
      <c r="B10" s="4" t="s">
        <v>15</v>
      </c>
    </row>
    <row r="11" customFormat="false" ht="15" hidden="false" customHeight="false" outlineLevel="0" collapsed="false">
      <c r="A11" s="3" t="s">
        <v>16</v>
      </c>
      <c r="B11" s="4" t="s">
        <v>17</v>
      </c>
    </row>
    <row r="13" customFormat="false" ht="15" hidden="false" customHeight="false" outlineLevel="0" collapsed="false">
      <c r="A13" s="5" t="s">
        <v>18</v>
      </c>
    </row>
    <row r="14" customFormat="false" ht="45" hidden="false" customHeight="true" outlineLevel="0" collapsed="false">
      <c r="A14" s="6" t="s">
        <v>19</v>
      </c>
      <c r="B14" s="6"/>
    </row>
    <row r="16" customFormat="false" ht="15" hidden="false" customHeight="false" outlineLevel="0" collapsed="false">
      <c r="A16" s="5" t="s">
        <v>20</v>
      </c>
    </row>
    <row r="17" customFormat="false" ht="30" hidden="false" customHeight="true" outlineLevel="0" collapsed="false">
      <c r="A17" s="3" t="s">
        <v>21</v>
      </c>
      <c r="B17" s="4" t="s">
        <v>22</v>
      </c>
    </row>
    <row r="18" customFormat="false" ht="30" hidden="false" customHeight="true" outlineLevel="0" collapsed="false">
      <c r="A18" s="3" t="s">
        <v>23</v>
      </c>
      <c r="B18" s="4" t="s">
        <v>24</v>
      </c>
    </row>
    <row r="19" customFormat="false" ht="30" hidden="false" customHeight="true" outlineLevel="0" collapsed="false">
      <c r="A19" s="3" t="s">
        <v>25</v>
      </c>
      <c r="B19" s="4" t="s">
        <v>26</v>
      </c>
    </row>
    <row r="20" customFormat="false" ht="30" hidden="false" customHeight="true" outlineLevel="0" collapsed="false">
      <c r="A20" s="3" t="s">
        <v>27</v>
      </c>
      <c r="B20" s="4" t="s">
        <v>28</v>
      </c>
    </row>
    <row r="21" customFormat="false" ht="30" hidden="false" customHeight="true" outlineLevel="0" collapsed="false">
      <c r="A21" s="3" t="s">
        <v>29</v>
      </c>
      <c r="B21" s="4" t="s">
        <v>30</v>
      </c>
    </row>
    <row r="22" customFormat="false" ht="30" hidden="false" customHeight="true" outlineLevel="0" collapsed="false">
      <c r="A22" s="3" t="s">
        <v>31</v>
      </c>
      <c r="B22" s="4" t="s">
        <v>32</v>
      </c>
    </row>
  </sheetData>
  <mergeCells count="1">
    <mergeCell ref="A14:B14"/>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M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6" min="2" style="0" width="10"/>
    <col collapsed="false" customWidth="true" hidden="false" outlineLevel="0" max="7" min="7" style="0" width="4"/>
    <col collapsed="false" customWidth="true" hidden="false" outlineLevel="0" max="8" min="8" style="0" width="24"/>
    <col collapsed="false" customWidth="true" hidden="false" outlineLevel="0" max="12" min="9" style="0" width="10"/>
    <col collapsed="false" customWidth="true" hidden="false" outlineLevel="0" max="13" min="13" style="0" width="11"/>
    <col collapsed="false" customWidth="true" hidden="false" outlineLevel="0" max="14" min="14" style="0" width="4"/>
  </cols>
  <sheetData>
    <row r="1" customFormat="false" ht="19.7" hidden="false" customHeight="false" outlineLevel="0" collapsed="false">
      <c r="A1" s="1" t="s">
        <v>33</v>
      </c>
    </row>
    <row r="2" customFormat="false" ht="15" hidden="false" customHeight="false" outlineLevel="0" collapsed="false">
      <c r="A2" s="2" t="s">
        <v>34</v>
      </c>
    </row>
    <row r="4" customFormat="false" ht="15" hidden="false" customHeight="false" outlineLevel="0" collapsed="false">
      <c r="A4" s="7" t="s">
        <v>35</v>
      </c>
      <c r="H4" s="7" t="s">
        <v>36</v>
      </c>
    </row>
    <row r="5" customFormat="false" ht="15" hidden="false" customHeight="false" outlineLevel="0" collapsed="false">
      <c r="A5" s="3" t="s">
        <v>37</v>
      </c>
      <c r="B5" s="8" t="n">
        <v>1</v>
      </c>
      <c r="C5" s="8" t="n">
        <v>2</v>
      </c>
      <c r="D5" s="8" t="n">
        <v>3</v>
      </c>
      <c r="E5" s="8" t="n">
        <v>4</v>
      </c>
      <c r="F5" s="8" t="n">
        <v>5</v>
      </c>
      <c r="H5" s="3" t="s">
        <v>37</v>
      </c>
      <c r="I5" s="8" t="n">
        <v>1</v>
      </c>
      <c r="J5" s="8" t="n">
        <v>2</v>
      </c>
      <c r="K5" s="8" t="n">
        <v>3</v>
      </c>
      <c r="L5" s="8" t="n">
        <v>4</v>
      </c>
      <c r="M5" s="8" t="n">
        <v>5</v>
      </c>
    </row>
    <row r="6" customFormat="false" ht="25.5" hidden="false" customHeight="true" outlineLevel="0" collapsed="false">
      <c r="A6" s="9" t="n">
        <v>5</v>
      </c>
      <c r="B6" s="10" t="n">
        <f aca="false">COUNTIFS('Risk Register'!$K$2:$K$22,5,'Risk Register'!$L$2:$L$22,1)</f>
        <v>0</v>
      </c>
      <c r="C6" s="11" t="n">
        <f aca="false">COUNTIFS('Risk Register'!$K$2:$K$22,5,'Risk Register'!$L$2:$L$22,2)</f>
        <v>0</v>
      </c>
      <c r="D6" s="11" t="n">
        <f aca="false">COUNTIFS('Risk Register'!$K$2:$K$22,5,'Risk Register'!$L$2:$L$22,3)</f>
        <v>0</v>
      </c>
      <c r="E6" s="12" t="n">
        <f aca="false">COUNTIFS('Risk Register'!$K$2:$K$22,5,'Risk Register'!$L$2:$L$22,4)</f>
        <v>1</v>
      </c>
      <c r="F6" s="12" t="n">
        <f aca="false">COUNTIFS('Risk Register'!$K$2:$K$22,5,'Risk Register'!$L$2:$L$22,5)</f>
        <v>0</v>
      </c>
      <c r="H6" s="9" t="n">
        <v>5</v>
      </c>
      <c r="I6" s="10" t="n">
        <f aca="false">COUNTIFS('Risk Register'!$T$2:$T$22,5,'Risk Register'!$U$2:$U$22,1)</f>
        <v>0</v>
      </c>
      <c r="J6" s="11" t="n">
        <f aca="false">COUNTIFS('Risk Register'!$T$2:$T$22,5,'Risk Register'!$U$2:$U$22,2)</f>
        <v>0</v>
      </c>
      <c r="K6" s="11" t="n">
        <f aca="false">COUNTIFS('Risk Register'!$T$2:$T$22,5,'Risk Register'!$U$2:$U$22,3)</f>
        <v>0</v>
      </c>
      <c r="L6" s="12" t="n">
        <f aca="false">COUNTIFS('Risk Register'!$T$2:$T$22,5,'Risk Register'!$U$2:$U$22,4)</f>
        <v>0</v>
      </c>
      <c r="M6" s="12" t="n">
        <f aca="false">COUNTIFS('Risk Register'!$T$2:$T$22,5,'Risk Register'!$U$2:$U$22,5)</f>
        <v>0</v>
      </c>
    </row>
    <row r="7" customFormat="false" ht="25.5" hidden="false" customHeight="true" outlineLevel="0" collapsed="false">
      <c r="A7" s="9" t="n">
        <v>4</v>
      </c>
      <c r="B7" s="13" t="n">
        <f aca="false">COUNTIFS('Risk Register'!$K$2:$K$22,4,'Risk Register'!$L$2:$L$22,1)</f>
        <v>0</v>
      </c>
      <c r="C7" s="10" t="n">
        <f aca="false">COUNTIFS('Risk Register'!$K$2:$K$22,4,'Risk Register'!$L$2:$L$22,2)</f>
        <v>0</v>
      </c>
      <c r="D7" s="11" t="n">
        <f aca="false">COUNTIFS('Risk Register'!$K$2:$K$22,4,'Risk Register'!$L$2:$L$22,3)</f>
        <v>1</v>
      </c>
      <c r="E7" s="11" t="n">
        <f aca="false">COUNTIFS('Risk Register'!$K$2:$K$22,4,'Risk Register'!$L$2:$L$22,4)</f>
        <v>4</v>
      </c>
      <c r="F7" s="12" t="n">
        <f aca="false">COUNTIFS('Risk Register'!$K$2:$K$22,4,'Risk Register'!$L$2:$L$22,5)</f>
        <v>1</v>
      </c>
      <c r="H7" s="9" t="n">
        <v>4</v>
      </c>
      <c r="I7" s="13" t="n">
        <f aca="false">COUNTIFS('Risk Register'!$T$2:$T$22,4,'Risk Register'!$U$2:$U$22,1)</f>
        <v>0</v>
      </c>
      <c r="J7" s="10" t="n">
        <f aca="false">COUNTIFS('Risk Register'!$T$2:$T$22,4,'Risk Register'!$U$2:$U$22,2)</f>
        <v>0</v>
      </c>
      <c r="K7" s="11" t="n">
        <f aca="false">COUNTIFS('Risk Register'!$T$2:$T$22,4,'Risk Register'!$U$2:$U$22,3)</f>
        <v>0</v>
      </c>
      <c r="L7" s="11" t="n">
        <f aca="false">COUNTIFS('Risk Register'!$T$2:$T$22,4,'Risk Register'!$U$2:$U$22,4)</f>
        <v>0</v>
      </c>
      <c r="M7" s="12" t="n">
        <f aca="false">COUNTIFS('Risk Register'!$T$2:$T$22,4,'Risk Register'!$U$2:$U$22,5)</f>
        <v>0</v>
      </c>
    </row>
    <row r="8" customFormat="false" ht="25.5" hidden="false" customHeight="true" outlineLevel="0" collapsed="false">
      <c r="A8" s="9" t="n">
        <v>3</v>
      </c>
      <c r="B8" s="13" t="n">
        <f aca="false">COUNTIFS('Risk Register'!$K$2:$K$22,3,'Risk Register'!$L$2:$L$22,1)</f>
        <v>1</v>
      </c>
      <c r="C8" s="10" t="n">
        <f aca="false">COUNTIFS('Risk Register'!$K$2:$K$22,3,'Risk Register'!$L$2:$L$22,2)</f>
        <v>0</v>
      </c>
      <c r="D8" s="10" t="n">
        <f aca="false">COUNTIFS('Risk Register'!$K$2:$K$22,3,'Risk Register'!$L$2:$L$22,3)</f>
        <v>2</v>
      </c>
      <c r="E8" s="11" t="n">
        <f aca="false">COUNTIFS('Risk Register'!$K$2:$K$22,3,'Risk Register'!$L$2:$L$22,4)</f>
        <v>4</v>
      </c>
      <c r="F8" s="11" t="n">
        <f aca="false">COUNTIFS('Risk Register'!$K$2:$K$22,3,'Risk Register'!$L$2:$L$22,5)</f>
        <v>4</v>
      </c>
      <c r="H8" s="9" t="n">
        <v>3</v>
      </c>
      <c r="I8" s="13" t="n">
        <f aca="false">COUNTIFS('Risk Register'!$T$2:$T$22,3,'Risk Register'!$U$2:$U$22,1)</f>
        <v>1</v>
      </c>
      <c r="J8" s="10" t="n">
        <f aca="false">COUNTIFS('Risk Register'!$T$2:$T$22,3,'Risk Register'!$U$2:$U$22,2)</f>
        <v>0</v>
      </c>
      <c r="K8" s="10" t="n">
        <f aca="false">COUNTIFS('Risk Register'!$T$2:$T$22,3,'Risk Register'!$U$2:$U$22,3)</f>
        <v>0</v>
      </c>
      <c r="L8" s="11" t="n">
        <f aca="false">COUNTIFS('Risk Register'!$T$2:$T$22,3,'Risk Register'!$U$2:$U$22,4)</f>
        <v>0</v>
      </c>
      <c r="M8" s="11" t="n">
        <f aca="false">COUNTIFS('Risk Register'!$T$2:$T$22,3,'Risk Register'!$U$2:$U$22,5)</f>
        <v>0</v>
      </c>
    </row>
    <row r="9" customFormat="false" ht="25.5" hidden="false" customHeight="true" outlineLevel="0" collapsed="false">
      <c r="A9" s="9" t="n">
        <v>2</v>
      </c>
      <c r="B9" s="13" t="n">
        <f aca="false">COUNTIFS('Risk Register'!$K$2:$K$22,2,'Risk Register'!$L$2:$L$22,1)</f>
        <v>0</v>
      </c>
      <c r="C9" s="13" t="n">
        <f aca="false">COUNTIFS('Risk Register'!$K$2:$K$22,2,'Risk Register'!$L$2:$L$22,2)</f>
        <v>0</v>
      </c>
      <c r="D9" s="10" t="n">
        <f aca="false">COUNTIFS('Risk Register'!$K$2:$K$22,2,'Risk Register'!$L$2:$L$22,3)</f>
        <v>1</v>
      </c>
      <c r="E9" s="10" t="n">
        <f aca="false">COUNTIFS('Risk Register'!$K$2:$K$22,2,'Risk Register'!$L$2:$L$22,4)</f>
        <v>1</v>
      </c>
      <c r="F9" s="11" t="n">
        <f aca="false">COUNTIFS('Risk Register'!$K$2:$K$22,2,'Risk Register'!$L$2:$L$22,5)</f>
        <v>1</v>
      </c>
      <c r="H9" s="9" t="n">
        <v>2</v>
      </c>
      <c r="I9" s="13" t="n">
        <f aca="false">COUNTIFS('Risk Register'!$T$2:$T$22,2,'Risk Register'!$U$2:$U$22,1)</f>
        <v>0</v>
      </c>
      <c r="J9" s="13" t="n">
        <f aca="false">COUNTIFS('Risk Register'!$T$2:$T$22,2,'Risk Register'!$U$2:$U$22,2)</f>
        <v>2</v>
      </c>
      <c r="K9" s="10" t="n">
        <f aca="false">COUNTIFS('Risk Register'!$T$2:$T$22,2,'Risk Register'!$U$2:$U$22,3)</f>
        <v>9</v>
      </c>
      <c r="L9" s="10" t="n">
        <f aca="false">COUNTIFS('Risk Register'!$T$2:$T$22,2,'Risk Register'!$U$2:$U$22,4)</f>
        <v>1</v>
      </c>
      <c r="M9" s="11" t="n">
        <f aca="false">COUNTIFS('Risk Register'!$T$2:$T$22,2,'Risk Register'!$U$2:$U$22,5)</f>
        <v>0</v>
      </c>
    </row>
    <row r="10" customFormat="false" ht="25.5" hidden="false" customHeight="true" outlineLevel="0" collapsed="false">
      <c r="A10" s="9" t="n">
        <v>1</v>
      </c>
      <c r="B10" s="13" t="n">
        <f aca="false">COUNTIFS('Risk Register'!$K$2:$K$22,1,'Risk Register'!$L$2:$L$22,1)</f>
        <v>0</v>
      </c>
      <c r="C10" s="13" t="n">
        <f aca="false">COUNTIFS('Risk Register'!$K$2:$K$22,1,'Risk Register'!$L$2:$L$22,2)</f>
        <v>0</v>
      </c>
      <c r="D10" s="13" t="n">
        <f aca="false">COUNTIFS('Risk Register'!$K$2:$K$22,1,'Risk Register'!$L$2:$L$22,3)</f>
        <v>0</v>
      </c>
      <c r="E10" s="13" t="n">
        <f aca="false">COUNTIFS('Risk Register'!$K$2:$K$22,1,'Risk Register'!$L$2:$L$22,4)</f>
        <v>0</v>
      </c>
      <c r="F10" s="10" t="n">
        <f aca="false">COUNTIFS('Risk Register'!$K$2:$K$22,1,'Risk Register'!$L$2:$L$22,5)</f>
        <v>0</v>
      </c>
      <c r="H10" s="9" t="n">
        <v>1</v>
      </c>
      <c r="I10" s="13" t="n">
        <f aca="false">COUNTIFS('Risk Register'!$T$2:$T$22,1,'Risk Register'!$U$2:$U$22,1)</f>
        <v>1</v>
      </c>
      <c r="J10" s="13" t="n">
        <f aca="false">COUNTIFS('Risk Register'!$T$2:$T$22,1,'Risk Register'!$U$2:$U$22,2)</f>
        <v>1</v>
      </c>
      <c r="K10" s="13" t="n">
        <f aca="false">COUNTIFS('Risk Register'!$T$2:$T$22,1,'Risk Register'!$U$2:$U$22,3)</f>
        <v>1</v>
      </c>
      <c r="L10" s="13" t="n">
        <f aca="false">COUNTIFS('Risk Register'!$T$2:$T$22,1,'Risk Register'!$U$2:$U$22,4)</f>
        <v>2</v>
      </c>
      <c r="M10" s="10" t="n">
        <f aca="false">COUNTIFS('Risk Register'!$T$2:$T$22,1,'Risk Register'!$U$2:$U$22,5)</f>
        <v>3</v>
      </c>
    </row>
    <row r="11" customFormat="false" ht="15" hidden="false" customHeight="false" outlineLevel="0" collapsed="false">
      <c r="A11" s="14" t="s">
        <v>38</v>
      </c>
    </row>
    <row r="13" customFormat="false" ht="15" hidden="false" customHeight="false" outlineLevel="0" collapsed="false">
      <c r="A13" s="7" t="s">
        <v>39</v>
      </c>
      <c r="H13" s="7" t="s">
        <v>40</v>
      </c>
    </row>
    <row r="14" customFormat="false" ht="15" hidden="false" customHeight="false" outlineLevel="0" collapsed="false">
      <c r="A14" s="15" t="s">
        <v>41</v>
      </c>
      <c r="B14" s="15" t="s">
        <v>42</v>
      </c>
      <c r="C14" s="15" t="s">
        <v>43</v>
      </c>
      <c r="H14" s="16" t="s">
        <v>44</v>
      </c>
      <c r="I14" s="16"/>
      <c r="J14" s="16"/>
      <c r="K14" s="16"/>
      <c r="L14" s="17" t="n">
        <f aca="false">COUNTIF('Risk Register'!$Y$2:$Y$22,"No")</f>
        <v>17</v>
      </c>
    </row>
    <row r="15" customFormat="false" ht="15" hidden="false" customHeight="false" outlineLevel="0" collapsed="false">
      <c r="A15" s="18" t="s">
        <v>45</v>
      </c>
      <c r="B15" s="19" t="n">
        <f aca="false">COUNTIF('Risk Register'!$N$2:$N$22,A15)</f>
        <v>2</v>
      </c>
      <c r="C15" s="19" t="n">
        <f aca="false">COUNTIF('Risk Register'!$W$2:$W$22,A15)</f>
        <v>0</v>
      </c>
      <c r="H15" s="16" t="s">
        <v>46</v>
      </c>
      <c r="I15" s="16"/>
      <c r="J15" s="16"/>
      <c r="K15" s="16"/>
      <c r="L15" s="17" t="n">
        <f aca="false">COUNTIF('Risk Register'!$Z$2:$Z$22,"No")</f>
        <v>0</v>
      </c>
    </row>
    <row r="16" customFormat="false" ht="15" hidden="false" customHeight="false" outlineLevel="0" collapsed="false">
      <c r="A16" s="20" t="s">
        <v>47</v>
      </c>
      <c r="B16" s="19" t="n">
        <f aca="false">COUNTIF('Risk Register'!$N$2:$N$22,A16)</f>
        <v>14</v>
      </c>
      <c r="C16" s="19" t="n">
        <f aca="false">COUNTIF('Risk Register'!$W$2:$W$22,A16)</f>
        <v>0</v>
      </c>
      <c r="H16" s="16" t="s">
        <v>48</v>
      </c>
      <c r="I16" s="16"/>
      <c r="J16" s="16"/>
      <c r="K16" s="16"/>
      <c r="L16" s="21" t="n">
        <f aca="false">AVERAGE('Risk Register'!$M$2:$M$22)</f>
        <v>12.8095238095238</v>
      </c>
    </row>
    <row r="17" customFormat="false" ht="15" hidden="false" customHeight="false" outlineLevel="0" collapsed="false">
      <c r="A17" s="22" t="s">
        <v>49</v>
      </c>
      <c r="B17" s="19" t="n">
        <f aca="false">COUNTIF('Risk Register'!$N$2:$N$22,A17)</f>
        <v>4</v>
      </c>
      <c r="C17" s="19" t="n">
        <f aca="false">COUNTIF('Risk Register'!$W$2:$W$22,A17)</f>
        <v>13</v>
      </c>
      <c r="H17" s="16" t="s">
        <v>50</v>
      </c>
      <c r="I17" s="16"/>
      <c r="J17" s="16"/>
      <c r="K17" s="16"/>
      <c r="L17" s="21" t="n">
        <f aca="false">AVERAGE('Risk Register'!$V$2:$V$22)</f>
        <v>4.85714285714286</v>
      </c>
    </row>
    <row r="18" customFormat="false" ht="15" hidden="false" customHeight="false" outlineLevel="0" collapsed="false">
      <c r="A18" s="23" t="s">
        <v>51</v>
      </c>
      <c r="B18" s="19" t="n">
        <f aca="false">COUNTIF('Risk Register'!$N$2:$N$22,A18)</f>
        <v>1</v>
      </c>
      <c r="C18" s="19" t="n">
        <f aca="false">COUNTIF('Risk Register'!$W$2:$W$22,A18)</f>
        <v>8</v>
      </c>
      <c r="H18" s="16" t="s">
        <v>52</v>
      </c>
      <c r="I18" s="16"/>
      <c r="J18" s="16"/>
      <c r="K18" s="16"/>
      <c r="L18" s="24" t="n">
        <f aca="false">1-SUM('Risk Register'!$V$2:$V$22)/SUM('Risk Register'!$M$2:$M$22)</f>
        <v>0.620817843866171</v>
      </c>
    </row>
    <row r="19" customFormat="false" ht="15" hidden="false" customHeight="false" outlineLevel="0" collapsed="false">
      <c r="A19" s="3" t="s">
        <v>53</v>
      </c>
      <c r="B19" s="25" t="n">
        <f aca="false">SUM(B15:B18)</f>
        <v>21</v>
      </c>
      <c r="C19" s="25" t="n">
        <f aca="false">SUM(C15:C18)</f>
        <v>21</v>
      </c>
    </row>
    <row r="21" customFormat="false" ht="15" hidden="false" customHeight="false" outlineLevel="0" collapsed="false">
      <c r="A21" s="7" t="s">
        <v>54</v>
      </c>
    </row>
    <row r="22" customFormat="false" ht="27.75" hidden="false" customHeight="true" outlineLevel="0" collapsed="false">
      <c r="A22" s="26" t="s">
        <v>55</v>
      </c>
      <c r="B22" s="26" t="s">
        <v>56</v>
      </c>
      <c r="C22" s="26" t="s">
        <v>57</v>
      </c>
    </row>
    <row r="23" customFormat="false" ht="15" hidden="false" customHeight="false" outlineLevel="0" collapsed="false">
      <c r="A23" s="27" t="s">
        <v>58</v>
      </c>
      <c r="B23" s="19" t="n">
        <f aca="false">COUNTIF('Risk Register'!$I$2:$I$22,A23)</f>
        <v>2</v>
      </c>
      <c r="C23" s="19" t="n">
        <f aca="false">COUNTIFS('Risk Register'!$I$2:$I$22,A23,'Risk Register'!$Y$2:$Y$22,"No")</f>
        <v>2</v>
      </c>
    </row>
    <row r="24" customFormat="false" ht="15" hidden="false" customHeight="false" outlineLevel="0" collapsed="false">
      <c r="A24" s="27" t="s">
        <v>59</v>
      </c>
      <c r="B24" s="19" t="n">
        <f aca="false">COUNTIF('Risk Register'!$I$2:$I$22,A24)</f>
        <v>8</v>
      </c>
      <c r="C24" s="19" t="n">
        <f aca="false">COUNTIFS('Risk Register'!$I$2:$I$22,A24,'Risk Register'!$Y$2:$Y$22,"No")</f>
        <v>5</v>
      </c>
    </row>
    <row r="25" customFormat="false" ht="15" hidden="false" customHeight="false" outlineLevel="0" collapsed="false">
      <c r="A25" s="27" t="s">
        <v>60</v>
      </c>
      <c r="B25" s="19" t="n">
        <f aca="false">COUNTIF('Risk Register'!$I$2:$I$22,A25)</f>
        <v>3</v>
      </c>
      <c r="C25" s="19" t="n">
        <f aca="false">COUNTIFS('Risk Register'!$I$2:$I$22,A25,'Risk Register'!$Y$2:$Y$22,"No")</f>
        <v>3</v>
      </c>
    </row>
    <row r="26" customFormat="false" ht="15" hidden="false" customHeight="false" outlineLevel="0" collapsed="false">
      <c r="A26" s="27" t="s">
        <v>61</v>
      </c>
      <c r="B26" s="19" t="n">
        <f aca="false">COUNTIF('Risk Register'!$I$2:$I$22,A26)</f>
        <v>4</v>
      </c>
      <c r="C26" s="19" t="n">
        <f aca="false">COUNTIFS('Risk Register'!$I$2:$I$22,A26,'Risk Register'!$Y$2:$Y$22,"No")</f>
        <v>3</v>
      </c>
    </row>
    <row r="27" customFormat="false" ht="15" hidden="false" customHeight="false" outlineLevel="0" collapsed="false">
      <c r="A27" s="27" t="s">
        <v>62</v>
      </c>
      <c r="B27" s="19" t="n">
        <f aca="false">COUNTIF('Risk Register'!$I$2:$I$22,A27)</f>
        <v>4</v>
      </c>
      <c r="C27" s="19" t="n">
        <f aca="false">COUNTIFS('Risk Register'!$I$2:$I$22,A27,'Risk Register'!$Y$2:$Y$22,"No")</f>
        <v>4</v>
      </c>
    </row>
    <row r="30" customFormat="false" ht="15" hidden="false" customHeight="false" outlineLevel="0" collapsed="false">
      <c r="A30" s="7" t="s">
        <v>63</v>
      </c>
    </row>
    <row r="31" customFormat="false" ht="15" hidden="false" customHeight="false" outlineLevel="0" collapsed="false">
      <c r="A31" s="28" t="s">
        <v>64</v>
      </c>
      <c r="B31" s="29" t="s">
        <v>65</v>
      </c>
      <c r="C31" s="29"/>
      <c r="D31" s="29"/>
      <c r="E31" s="29"/>
      <c r="F31" s="29"/>
      <c r="G31" s="29"/>
      <c r="H31" s="29" t="s">
        <v>55</v>
      </c>
      <c r="I31" s="29"/>
      <c r="J31" s="29"/>
      <c r="K31" s="28" t="s">
        <v>42</v>
      </c>
      <c r="L31" s="28" t="s">
        <v>43</v>
      </c>
      <c r="M31" s="28" t="s">
        <v>41</v>
      </c>
    </row>
    <row r="32" customFormat="false" ht="27.75" hidden="false" customHeight="true" outlineLevel="0" collapsed="false">
      <c r="A32" s="25" t="s">
        <v>66</v>
      </c>
      <c r="B32" s="27" t="str">
        <f aca="false">INDEX('Risk Register'!$B$2:$B$22,MATCH($A32,'Risk Register'!$A$2:$A$22,0))</f>
        <v>Compromise of privileged platform credentials leads to mass compromise of client environments</v>
      </c>
      <c r="C32" s="27"/>
      <c r="D32" s="27"/>
      <c r="E32" s="27"/>
      <c r="F32" s="27"/>
      <c r="G32" s="27"/>
      <c r="H32" s="27" t="str">
        <f aca="false">INDEX('Risk Register'!$I$2:$I$22,MATCH($A32,'Risk Register'!$A$2:$A$22,0))</f>
        <v>Technical Director</v>
      </c>
      <c r="I32" s="27"/>
      <c r="J32" s="27"/>
      <c r="K32" s="19" t="n">
        <f aca="false">INDEX('Risk Register'!$M$2:$M$22,MATCH($A32,'Risk Register'!$A$2:$A$22,0))</f>
        <v>20</v>
      </c>
      <c r="L32" s="19" t="n">
        <f aca="false">INDEX('Risk Register'!$V$2:$V$22,MATCH($A32,'Risk Register'!$A$2:$A$22,0))</f>
        <v>5</v>
      </c>
      <c r="M32" s="30" t="str">
        <f aca="false">INDEX('Risk Register'!$N$2:$N$22,MATCH($A32,'Risk Register'!$A$2:$A$22,0))</f>
        <v>Critical</v>
      </c>
    </row>
    <row r="33" customFormat="false" ht="27.75" hidden="false" customHeight="true" outlineLevel="0" collapsed="false">
      <c r="A33" s="25" t="s">
        <v>67</v>
      </c>
      <c r="B33" s="27" t="str">
        <f aca="false">INDEX('Risk Register'!$B$2:$B$22,MATCH($A33,'Risk Register'!$A$2:$A$22,0))</f>
        <v>Lantern fails to achieve ISO 27001 certification and keeps losing tenders</v>
      </c>
      <c r="C33" s="27"/>
      <c r="D33" s="27"/>
      <c r="E33" s="27"/>
      <c r="F33" s="27"/>
      <c r="G33" s="27"/>
      <c r="H33" s="27" t="str">
        <f aca="false">INDEX('Risk Register'!$I$2:$I$22,MATCH($A33,'Risk Register'!$A$2:$A$22,0))</f>
        <v>Managing Director</v>
      </c>
      <c r="I33" s="27"/>
      <c r="J33" s="27"/>
      <c r="K33" s="19" t="n">
        <f aca="false">INDEX('Risk Register'!$M$2:$M$22,MATCH($A33,'Risk Register'!$A$2:$A$22,0))</f>
        <v>20</v>
      </c>
      <c r="L33" s="19" t="n">
        <f aca="false">INDEX('Risk Register'!$V$2:$V$22,MATCH($A33,'Risk Register'!$A$2:$A$22,0))</f>
        <v>8</v>
      </c>
      <c r="M33" s="30" t="str">
        <f aca="false">INDEX('Risk Register'!$N$2:$N$22,MATCH($A33,'Risk Register'!$A$2:$A$22,0))</f>
        <v>Critical</v>
      </c>
    </row>
    <row r="34" customFormat="false" ht="27.75" hidden="false" customHeight="true" outlineLevel="0" collapsed="false">
      <c r="A34" s="25" t="s">
        <v>68</v>
      </c>
      <c r="B34" s="27" t="str">
        <f aca="false">INDEX('Risk Register'!$B$2:$B$22,MATCH($A34,'Risk Register'!$A$2:$A$22,0))</f>
        <v>Former employee retains privileged access to client platforms</v>
      </c>
      <c r="C34" s="27"/>
      <c r="D34" s="27"/>
      <c r="E34" s="27"/>
      <c r="F34" s="27"/>
      <c r="G34" s="27"/>
      <c r="H34" s="27" t="str">
        <f aca="false">INDEX('Risk Register'!$I$2:$I$22,MATCH($A34,'Risk Register'!$A$2:$A$22,0))</f>
        <v>Operations Director</v>
      </c>
      <c r="I34" s="27"/>
      <c r="J34" s="27"/>
      <c r="K34" s="19" t="n">
        <f aca="false">INDEX('Risk Register'!$M$2:$M$22,MATCH($A34,'Risk Register'!$A$2:$A$22,0))</f>
        <v>16</v>
      </c>
      <c r="L34" s="19" t="n">
        <f aca="false">INDEX('Risk Register'!$V$2:$V$22,MATCH($A34,'Risk Register'!$A$2:$A$22,0))</f>
        <v>4</v>
      </c>
      <c r="M34" s="30" t="str">
        <f aca="false">INDEX('Risk Register'!$N$2:$N$22,MATCH($A34,'Risk Register'!$A$2:$A$22,0))</f>
        <v>High</v>
      </c>
    </row>
    <row r="35" customFormat="false" ht="27.75" hidden="false" customHeight="true" outlineLevel="0" collapsed="false">
      <c r="A35" s="25" t="s">
        <v>69</v>
      </c>
      <c r="B35" s="27" t="str">
        <f aca="false">INDEX('Risk Register'!$B$2:$B$22,MATCH($A35,'Risk Register'!$A$2:$A$22,0))</f>
        <v>Uncontrolled script deployment causes a widespread client outage</v>
      </c>
      <c r="C35" s="27"/>
      <c r="D35" s="27"/>
      <c r="E35" s="27"/>
      <c r="F35" s="27"/>
      <c r="G35" s="27"/>
      <c r="H35" s="27" t="str">
        <f aca="false">INDEX('Risk Register'!$I$2:$I$22,MATCH($A35,'Risk Register'!$A$2:$A$22,0))</f>
        <v>Infrastructure Lead</v>
      </c>
      <c r="I35" s="27"/>
      <c r="J35" s="27"/>
      <c r="K35" s="19" t="n">
        <f aca="false">INDEX('Risk Register'!$M$2:$M$22,MATCH($A35,'Risk Register'!$A$2:$A$22,0))</f>
        <v>16</v>
      </c>
      <c r="L35" s="19" t="n">
        <f aca="false">INDEX('Risk Register'!$V$2:$V$22,MATCH($A35,'Risk Register'!$A$2:$A$22,0))</f>
        <v>6</v>
      </c>
      <c r="M35" s="30" t="str">
        <f aca="false">INDEX('Risk Register'!$N$2:$N$22,MATCH($A35,'Risk Register'!$A$2:$A$22,0))</f>
        <v>High</v>
      </c>
    </row>
    <row r="36" customFormat="false" ht="27.75" hidden="false" customHeight="true" outlineLevel="0" collapsed="false">
      <c r="A36" s="25" t="s">
        <v>70</v>
      </c>
      <c r="B36" s="27" t="str">
        <f aca="false">INDEX('Risk Register'!$B$2:$B$22,MATCH($A36,'Risk Register'!$A$2:$A$22,0))</f>
        <v>Malicious activity on privileged platforms goes undetected</v>
      </c>
      <c r="C36" s="27"/>
      <c r="D36" s="27"/>
      <c r="E36" s="27"/>
      <c r="F36" s="27"/>
      <c r="G36" s="27"/>
      <c r="H36" s="27" t="str">
        <f aca="false">INDEX('Risk Register'!$I$2:$I$22,MATCH($A36,'Risk Register'!$A$2:$A$22,0))</f>
        <v>Infrastructure Lead</v>
      </c>
      <c r="I36" s="27"/>
      <c r="J36" s="27"/>
      <c r="K36" s="19" t="n">
        <f aca="false">INDEX('Risk Register'!$M$2:$M$22,MATCH($A36,'Risk Register'!$A$2:$A$22,0))</f>
        <v>16</v>
      </c>
      <c r="L36" s="19" t="n">
        <f aca="false">INDEX('Risk Register'!$V$2:$V$22,MATCH($A36,'Risk Register'!$A$2:$A$22,0))</f>
        <v>6</v>
      </c>
      <c r="M36" s="30" t="str">
        <f aca="false">INDEX('Risk Register'!$N$2:$N$22,MATCH($A36,'Risk Register'!$A$2:$A$22,0))</f>
        <v>High</v>
      </c>
    </row>
    <row r="37" customFormat="false" ht="27.75" hidden="false" customHeight="true" outlineLevel="0" collapsed="false">
      <c r="A37" s="25" t="s">
        <v>71</v>
      </c>
      <c r="B37" s="27" t="str">
        <f aca="false">INDEX('Risk Register'!$B$2:$B$22,MATCH($A37,'Risk Register'!$A$2:$A$22,0))</f>
        <v>Incident response fails and notification deadlines are missed</v>
      </c>
      <c r="C37" s="27"/>
      <c r="D37" s="27"/>
      <c r="E37" s="27"/>
      <c r="F37" s="27"/>
      <c r="G37" s="27"/>
      <c r="H37" s="27" t="str">
        <f aca="false">INDEX('Risk Register'!$I$2:$I$22,MATCH($A37,'Risk Register'!$A$2:$A$22,0))</f>
        <v>Technical Director</v>
      </c>
      <c r="I37" s="27"/>
      <c r="J37" s="27"/>
      <c r="K37" s="19" t="n">
        <f aca="false">INDEX('Risk Register'!$M$2:$M$22,MATCH($A37,'Risk Register'!$A$2:$A$22,0))</f>
        <v>16</v>
      </c>
      <c r="L37" s="19" t="n">
        <f aca="false">INDEX('Risk Register'!$V$2:$V$22,MATCH($A37,'Risk Register'!$A$2:$A$22,0))</f>
        <v>6</v>
      </c>
      <c r="M37" s="30" t="str">
        <f aca="false">INDEX('Risk Register'!$N$2:$N$22,MATCH($A37,'Risk Register'!$A$2:$A$22,0))</f>
        <v>High</v>
      </c>
    </row>
    <row r="38" customFormat="false" ht="27.75" hidden="false" customHeight="true" outlineLevel="0" collapsed="false">
      <c r="A38" s="25" t="s">
        <v>72</v>
      </c>
      <c r="B38" s="27" t="str">
        <f aca="false">INDEX('Risk Register'!$B$2:$B$22,MATCH($A38,'Risk Register'!$A$2:$A$22,0))</f>
        <v>Excessive standing privilege allows misuse to go further and remain unattributed</v>
      </c>
      <c r="C38" s="27"/>
      <c r="D38" s="27"/>
      <c r="E38" s="27"/>
      <c r="F38" s="27"/>
      <c r="G38" s="27"/>
      <c r="H38" s="27" t="str">
        <f aca="false">INDEX('Risk Register'!$I$2:$I$22,MATCH($A38,'Risk Register'!$A$2:$A$22,0))</f>
        <v>Technical Director</v>
      </c>
      <c r="I38" s="27"/>
      <c r="J38" s="27"/>
      <c r="K38" s="19" t="n">
        <f aca="false">INDEX('Risk Register'!$M$2:$M$22,MATCH($A38,'Risk Register'!$A$2:$A$22,0))</f>
        <v>15</v>
      </c>
      <c r="L38" s="19" t="n">
        <f aca="false">INDEX('Risk Register'!$V$2:$V$22,MATCH($A38,'Risk Register'!$A$2:$A$22,0))</f>
        <v>6</v>
      </c>
      <c r="M38" s="30" t="str">
        <f aca="false">INDEX('Risk Register'!$N$2:$N$22,MATCH($A38,'Risk Register'!$A$2:$A$22,0))</f>
        <v>High</v>
      </c>
    </row>
    <row r="39" customFormat="false" ht="27.75" hidden="false" customHeight="true" outlineLevel="0" collapsed="false">
      <c r="A39" s="25" t="s">
        <v>73</v>
      </c>
      <c r="B39" s="27" t="str">
        <f aca="false">INDEX('Risk Register'!$B$2:$B$22,MATCH($A39,'Risk Register'!$A$2:$A$22,0))</f>
        <v>Security failure at a critical SaaS supplier</v>
      </c>
      <c r="C39" s="27"/>
      <c r="D39" s="27"/>
      <c r="E39" s="27"/>
      <c r="F39" s="27"/>
      <c r="G39" s="27"/>
      <c r="H39" s="27" t="str">
        <f aca="false">INDEX('Risk Register'!$I$2:$I$22,MATCH($A39,'Risk Register'!$A$2:$A$22,0))</f>
        <v>Finance Director</v>
      </c>
      <c r="I39" s="27"/>
      <c r="J39" s="27"/>
      <c r="K39" s="19" t="n">
        <f aca="false">INDEX('Risk Register'!$M$2:$M$22,MATCH($A39,'Risk Register'!$A$2:$A$22,0))</f>
        <v>15</v>
      </c>
      <c r="L39" s="19" t="n">
        <f aca="false">INDEX('Risk Register'!$V$2:$V$22,MATCH($A39,'Risk Register'!$A$2:$A$22,0))</f>
        <v>6</v>
      </c>
      <c r="M39" s="30" t="str">
        <f aca="false">INDEX('Risk Register'!$N$2:$N$22,MATCH($A39,'Risk Register'!$A$2:$A$22,0))</f>
        <v>High</v>
      </c>
    </row>
    <row r="41" customFormat="false" ht="15" hidden="false" customHeight="false" outlineLevel="0" collapsed="false">
      <c r="A41" s="7" t="s">
        <v>74</v>
      </c>
    </row>
    <row r="42" customFormat="false" ht="30" hidden="false" customHeight="true" outlineLevel="0" collapsed="false">
      <c r="A42" s="31" t="s">
        <v>75</v>
      </c>
      <c r="B42" s="31"/>
      <c r="C42" s="31"/>
      <c r="D42" s="31"/>
      <c r="E42" s="31"/>
      <c r="F42" s="31"/>
      <c r="G42" s="31"/>
      <c r="H42" s="31"/>
      <c r="I42" s="31"/>
      <c r="J42" s="31"/>
      <c r="K42" s="31"/>
      <c r="L42" s="31"/>
      <c r="M42" s="31"/>
    </row>
    <row r="43" customFormat="false" ht="15" hidden="false" customHeight="false" outlineLevel="0" collapsed="false">
      <c r="A43" s="14" t="s">
        <v>76</v>
      </c>
    </row>
  </sheetData>
  <mergeCells count="24">
    <mergeCell ref="H14:K14"/>
    <mergeCell ref="H15:K15"/>
    <mergeCell ref="H16:K16"/>
    <mergeCell ref="H17:K17"/>
    <mergeCell ref="H18:K18"/>
    <mergeCell ref="B31:G31"/>
    <mergeCell ref="H31:J31"/>
    <mergeCell ref="B32:G32"/>
    <mergeCell ref="H32:J32"/>
    <mergeCell ref="B33:G33"/>
    <mergeCell ref="H33:J33"/>
    <mergeCell ref="B34:G34"/>
    <mergeCell ref="H34:J34"/>
    <mergeCell ref="B35:G35"/>
    <mergeCell ref="H35:J35"/>
    <mergeCell ref="B36:G36"/>
    <mergeCell ref="H36:J36"/>
    <mergeCell ref="B37:G37"/>
    <mergeCell ref="H37:J37"/>
    <mergeCell ref="B38:G38"/>
    <mergeCell ref="H38:J38"/>
    <mergeCell ref="B39:G39"/>
    <mergeCell ref="H39:J39"/>
    <mergeCell ref="A42:M42"/>
  </mergeCells>
  <conditionalFormatting sqref="M32:M39">
    <cfRule type="expression" priority="2" aboveAverage="0" equalAverage="0" bottom="0" percent="0" rank="0" text="" dxfId="0">
      <formula>M32="Critical"</formula>
    </cfRule>
    <cfRule type="expression" priority="3" aboveAverage="0" equalAverage="0" bottom="0" percent="0" rank="0" text="" dxfId="1">
      <formula>M32="High"</formula>
    </cfRule>
    <cfRule type="expression" priority="4" aboveAverage="0" equalAverage="0" bottom="0" percent="0" rank="0" text="" dxfId="2">
      <formula>M32="Medium"</formula>
    </cfRule>
    <cfRule type="expression" priority="5" aboveAverage="0" equalAverage="0" bottom="0" percent="0" rank="0" text="" dxfId="3">
      <formula>M32="Low"</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F6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0"/>
    <col collapsed="false" customWidth="true" hidden="false" outlineLevel="0" max="6" min="3" style="0" width="30"/>
    <col collapsed="false" customWidth="true" hidden="false" outlineLevel="0" max="7" min="7" style="0" width="12"/>
  </cols>
  <sheetData>
    <row r="1" customFormat="false" ht="19.7" hidden="false" customHeight="false" outlineLevel="0" collapsed="false">
      <c r="A1" s="1" t="s">
        <v>77</v>
      </c>
    </row>
    <row r="2" customFormat="false" ht="15" hidden="false" customHeight="false" outlineLevel="0" collapsed="false">
      <c r="A2" s="2" t="s">
        <v>78</v>
      </c>
    </row>
    <row r="4" customFormat="false" ht="15" hidden="false" customHeight="false" outlineLevel="0" collapsed="false">
      <c r="A4" s="7" t="s">
        <v>79</v>
      </c>
    </row>
    <row r="5" customFormat="false" ht="45" hidden="false" customHeight="true" outlineLevel="0" collapsed="false">
      <c r="A5" s="31" t="s">
        <v>80</v>
      </c>
      <c r="B5" s="31"/>
      <c r="C5" s="31"/>
      <c r="D5" s="31"/>
      <c r="E5" s="31"/>
      <c r="F5" s="31"/>
    </row>
    <row r="6" customFormat="false" ht="60" hidden="false" customHeight="true" outlineLevel="0" collapsed="false">
      <c r="A6" s="31" t="s">
        <v>81</v>
      </c>
      <c r="B6" s="31"/>
      <c r="C6" s="31"/>
      <c r="D6" s="31"/>
      <c r="E6" s="31"/>
      <c r="F6" s="31"/>
    </row>
    <row r="8" customFormat="false" ht="15" hidden="false" customHeight="false" outlineLevel="0" collapsed="false">
      <c r="A8" s="7" t="s">
        <v>82</v>
      </c>
    </row>
    <row r="9" customFormat="false" ht="15" hidden="false" customHeight="false" outlineLevel="0" collapsed="false">
      <c r="A9" s="32" t="s">
        <v>83</v>
      </c>
      <c r="B9" s="32" t="s">
        <v>84</v>
      </c>
      <c r="C9" s="32" t="s">
        <v>85</v>
      </c>
      <c r="D9" s="32" t="s">
        <v>86</v>
      </c>
    </row>
    <row r="10" customFormat="false" ht="43.5" hidden="false" customHeight="true" outlineLevel="0" collapsed="false">
      <c r="A10" s="27" t="n">
        <v>1</v>
      </c>
      <c r="B10" s="27" t="s">
        <v>87</v>
      </c>
      <c r="C10" s="27" t="s">
        <v>88</v>
      </c>
      <c r="D10" s="27" t="s">
        <v>89</v>
      </c>
    </row>
    <row r="11" customFormat="false" ht="43.5" hidden="false" customHeight="true" outlineLevel="0" collapsed="false">
      <c r="A11" s="27" t="n">
        <v>2</v>
      </c>
      <c r="B11" s="27" t="s">
        <v>90</v>
      </c>
      <c r="C11" s="27" t="s">
        <v>91</v>
      </c>
      <c r="D11" s="27" t="s">
        <v>92</v>
      </c>
    </row>
    <row r="12" customFormat="false" ht="43.5" hidden="false" customHeight="true" outlineLevel="0" collapsed="false">
      <c r="A12" s="27" t="n">
        <v>3</v>
      </c>
      <c r="B12" s="27" t="s">
        <v>93</v>
      </c>
      <c r="C12" s="27" t="s">
        <v>94</v>
      </c>
      <c r="D12" s="27" t="s">
        <v>95</v>
      </c>
    </row>
    <row r="13" customFormat="false" ht="43.5" hidden="false" customHeight="true" outlineLevel="0" collapsed="false">
      <c r="A13" s="27" t="n">
        <v>4</v>
      </c>
      <c r="B13" s="27" t="s">
        <v>96</v>
      </c>
      <c r="C13" s="27" t="s">
        <v>97</v>
      </c>
      <c r="D13" s="27" t="s">
        <v>98</v>
      </c>
    </row>
    <row r="14" customFormat="false" ht="43.5" hidden="false" customHeight="true" outlineLevel="0" collapsed="false">
      <c r="A14" s="27" t="n">
        <v>5</v>
      </c>
      <c r="B14" s="27" t="s">
        <v>99</v>
      </c>
      <c r="C14" s="27" t="s">
        <v>100</v>
      </c>
      <c r="D14" s="27" t="s">
        <v>101</v>
      </c>
    </row>
    <row r="16" customFormat="false" ht="15" hidden="false" customHeight="false" outlineLevel="0" collapsed="false">
      <c r="A16" s="7" t="s">
        <v>102</v>
      </c>
    </row>
    <row r="17" customFormat="false" ht="15" hidden="false" customHeight="false" outlineLevel="0" collapsed="false">
      <c r="A17" s="32" t="s">
        <v>83</v>
      </c>
      <c r="B17" s="32" t="s">
        <v>84</v>
      </c>
      <c r="C17" s="32" t="s">
        <v>103</v>
      </c>
      <c r="D17" s="32" t="s">
        <v>104</v>
      </c>
      <c r="E17" s="32" t="s">
        <v>105</v>
      </c>
      <c r="F17" s="32" t="s">
        <v>106</v>
      </c>
    </row>
    <row r="18" customFormat="false" ht="42" hidden="false" customHeight="true" outlineLevel="0" collapsed="false">
      <c r="A18" s="27" t="n">
        <v>1</v>
      </c>
      <c r="B18" s="27" t="s">
        <v>107</v>
      </c>
      <c r="C18" s="27" t="s">
        <v>108</v>
      </c>
      <c r="D18" s="27" t="s">
        <v>109</v>
      </c>
      <c r="E18" s="27" t="s">
        <v>110</v>
      </c>
      <c r="F18" s="27" t="s">
        <v>111</v>
      </c>
    </row>
    <row r="19" customFormat="false" ht="42" hidden="false" customHeight="true" outlineLevel="0" collapsed="false">
      <c r="A19" s="27" t="n">
        <v>2</v>
      </c>
      <c r="B19" s="27" t="s">
        <v>112</v>
      </c>
      <c r="C19" s="27" t="s">
        <v>113</v>
      </c>
      <c r="D19" s="27" t="s">
        <v>114</v>
      </c>
      <c r="E19" s="27" t="s">
        <v>115</v>
      </c>
      <c r="F19" s="27" t="s">
        <v>116</v>
      </c>
    </row>
    <row r="20" customFormat="false" ht="42" hidden="false" customHeight="true" outlineLevel="0" collapsed="false">
      <c r="A20" s="27" t="n">
        <v>3</v>
      </c>
      <c r="B20" s="27" t="s">
        <v>117</v>
      </c>
      <c r="C20" s="27" t="s">
        <v>118</v>
      </c>
      <c r="D20" s="27" t="s">
        <v>119</v>
      </c>
      <c r="E20" s="27" t="s">
        <v>120</v>
      </c>
      <c r="F20" s="27" t="s">
        <v>121</v>
      </c>
    </row>
    <row r="21" customFormat="false" ht="42" hidden="false" customHeight="true" outlineLevel="0" collapsed="false">
      <c r="A21" s="27" t="n">
        <v>4</v>
      </c>
      <c r="B21" s="27" t="s">
        <v>122</v>
      </c>
      <c r="C21" s="27" t="s">
        <v>123</v>
      </c>
      <c r="D21" s="27" t="s">
        <v>124</v>
      </c>
      <c r="E21" s="27" t="s">
        <v>125</v>
      </c>
      <c r="F21" s="27" t="s">
        <v>126</v>
      </c>
    </row>
    <row r="22" customFormat="false" ht="42" hidden="false" customHeight="true" outlineLevel="0" collapsed="false">
      <c r="A22" s="27" t="n">
        <v>5</v>
      </c>
      <c r="B22" s="27" t="s">
        <v>127</v>
      </c>
      <c r="C22" s="27" t="s">
        <v>128</v>
      </c>
      <c r="D22" s="27" t="s">
        <v>129</v>
      </c>
      <c r="E22" s="27" t="s">
        <v>130</v>
      </c>
      <c r="F22" s="27" t="s">
        <v>131</v>
      </c>
    </row>
    <row r="24" customFormat="false" ht="15" hidden="false" customHeight="false" outlineLevel="0" collapsed="false">
      <c r="A24" s="7" t="s">
        <v>132</v>
      </c>
    </row>
    <row r="25" customFormat="false" ht="18" hidden="false" customHeight="true" outlineLevel="0" collapsed="false">
      <c r="A25" s="31" t="s">
        <v>133</v>
      </c>
      <c r="B25" s="31"/>
      <c r="C25" s="31"/>
      <c r="D25" s="31"/>
      <c r="E25" s="31"/>
      <c r="F25" s="31"/>
    </row>
    <row r="26" customFormat="false" ht="15" hidden="false" customHeight="false" outlineLevel="0" collapsed="false">
      <c r="A26" s="32" t="s">
        <v>83</v>
      </c>
      <c r="B26" s="32" t="s">
        <v>41</v>
      </c>
      <c r="C26" s="32" t="s">
        <v>134</v>
      </c>
      <c r="D26" s="32" t="s">
        <v>135</v>
      </c>
    </row>
    <row r="27" customFormat="false" ht="31.5" hidden="false" customHeight="true" outlineLevel="0" collapsed="false">
      <c r="A27" s="27" t="s">
        <v>136</v>
      </c>
      <c r="B27" s="33" t="s">
        <v>45</v>
      </c>
      <c r="C27" s="27" t="s">
        <v>137</v>
      </c>
      <c r="D27" s="27" t="s">
        <v>138</v>
      </c>
    </row>
    <row r="28" customFormat="false" ht="31.5" hidden="false" customHeight="true" outlineLevel="0" collapsed="false">
      <c r="A28" s="27" t="s">
        <v>139</v>
      </c>
      <c r="B28" s="34" t="s">
        <v>47</v>
      </c>
      <c r="C28" s="27" t="s">
        <v>140</v>
      </c>
      <c r="D28" s="27" t="s">
        <v>141</v>
      </c>
    </row>
    <row r="29" customFormat="false" ht="31.5" hidden="false" customHeight="true" outlineLevel="0" collapsed="false">
      <c r="A29" s="27" t="s">
        <v>142</v>
      </c>
      <c r="B29" s="35" t="s">
        <v>49</v>
      </c>
      <c r="C29" s="27" t="s">
        <v>143</v>
      </c>
      <c r="D29" s="27" t="s">
        <v>144</v>
      </c>
    </row>
    <row r="30" customFormat="false" ht="31.5" hidden="false" customHeight="true" outlineLevel="0" collapsed="false">
      <c r="A30" s="27" t="s">
        <v>145</v>
      </c>
      <c r="B30" s="36" t="s">
        <v>51</v>
      </c>
      <c r="C30" s="27" t="s">
        <v>146</v>
      </c>
      <c r="D30" s="27" t="s">
        <v>147</v>
      </c>
    </row>
    <row r="32" customFormat="false" ht="15" hidden="false" customHeight="false" outlineLevel="0" collapsed="false">
      <c r="A32" s="7" t="s">
        <v>148</v>
      </c>
    </row>
    <row r="33" customFormat="false" ht="15" hidden="false" customHeight="false" outlineLevel="0" collapsed="false">
      <c r="A33" s="3" t="s">
        <v>37</v>
      </c>
      <c r="B33" s="8" t="n">
        <v>1</v>
      </c>
      <c r="C33" s="8" t="n">
        <v>2</v>
      </c>
      <c r="D33" s="8" t="n">
        <v>3</v>
      </c>
      <c r="E33" s="8" t="n">
        <v>4</v>
      </c>
      <c r="F33" s="8" t="n">
        <v>5</v>
      </c>
    </row>
    <row r="34" customFormat="false" ht="15" hidden="false" customHeight="false" outlineLevel="0" collapsed="false">
      <c r="A34" s="8" t="n">
        <v>5</v>
      </c>
      <c r="B34" s="37" t="n">
        <v>5</v>
      </c>
      <c r="C34" s="38" t="n">
        <v>10</v>
      </c>
      <c r="D34" s="38" t="n">
        <v>15</v>
      </c>
      <c r="E34" s="39" t="n">
        <v>20</v>
      </c>
      <c r="F34" s="39" t="n">
        <v>25</v>
      </c>
    </row>
    <row r="35" customFormat="false" ht="15" hidden="false" customHeight="false" outlineLevel="0" collapsed="false">
      <c r="A35" s="8" t="n">
        <v>4</v>
      </c>
      <c r="B35" s="40" t="n">
        <v>4</v>
      </c>
      <c r="C35" s="37" t="n">
        <v>8</v>
      </c>
      <c r="D35" s="38" t="n">
        <v>12</v>
      </c>
      <c r="E35" s="38" t="n">
        <v>16</v>
      </c>
      <c r="F35" s="39" t="n">
        <v>20</v>
      </c>
    </row>
    <row r="36" customFormat="false" ht="15" hidden="false" customHeight="false" outlineLevel="0" collapsed="false">
      <c r="A36" s="8" t="n">
        <v>3</v>
      </c>
      <c r="B36" s="40" t="n">
        <v>3</v>
      </c>
      <c r="C36" s="37" t="n">
        <v>6</v>
      </c>
      <c r="D36" s="37" t="n">
        <v>9</v>
      </c>
      <c r="E36" s="38" t="n">
        <v>12</v>
      </c>
      <c r="F36" s="38" t="n">
        <v>15</v>
      </c>
    </row>
    <row r="37" customFormat="false" ht="15" hidden="false" customHeight="false" outlineLevel="0" collapsed="false">
      <c r="A37" s="8" t="n">
        <v>2</v>
      </c>
      <c r="B37" s="40" t="n">
        <v>2</v>
      </c>
      <c r="C37" s="40" t="n">
        <v>4</v>
      </c>
      <c r="D37" s="37" t="n">
        <v>6</v>
      </c>
      <c r="E37" s="37" t="n">
        <v>8</v>
      </c>
      <c r="F37" s="38" t="n">
        <v>10</v>
      </c>
    </row>
    <row r="38" customFormat="false" ht="15" hidden="false" customHeight="false" outlineLevel="0" collapsed="false">
      <c r="A38" s="8" t="n">
        <v>1</v>
      </c>
      <c r="B38" s="40" t="n">
        <v>1</v>
      </c>
      <c r="C38" s="40" t="n">
        <v>2</v>
      </c>
      <c r="D38" s="40" t="n">
        <v>3</v>
      </c>
      <c r="E38" s="40" t="n">
        <v>4</v>
      </c>
      <c r="F38" s="37" t="n">
        <v>5</v>
      </c>
    </row>
    <row r="40" customFormat="false" ht="15" hidden="false" customHeight="false" outlineLevel="0" collapsed="false">
      <c r="A40" s="7" t="s">
        <v>149</v>
      </c>
    </row>
    <row r="41" customFormat="false" ht="45" hidden="false" customHeight="true" outlineLevel="0" collapsed="false">
      <c r="A41" s="31" t="s">
        <v>150</v>
      </c>
      <c r="B41" s="31"/>
      <c r="C41" s="31"/>
      <c r="D41" s="31"/>
      <c r="E41" s="31"/>
      <c r="F41" s="31"/>
    </row>
    <row r="42" customFormat="false" ht="15" hidden="false" customHeight="false" outlineLevel="0" collapsed="false">
      <c r="A42" s="32" t="s">
        <v>151</v>
      </c>
      <c r="B42" s="32" t="s">
        <v>152</v>
      </c>
      <c r="C42" s="32" t="s">
        <v>153</v>
      </c>
      <c r="D42" s="32" t="s">
        <v>154</v>
      </c>
    </row>
    <row r="43" customFormat="false" ht="45" hidden="false" customHeight="true" outlineLevel="0" collapsed="false">
      <c r="A43" s="27" t="s">
        <v>155</v>
      </c>
      <c r="B43" s="27" t="s">
        <v>51</v>
      </c>
      <c r="C43" s="27" t="s">
        <v>156</v>
      </c>
      <c r="D43" s="41" t="n">
        <v>6</v>
      </c>
    </row>
    <row r="44" customFormat="false" ht="45" hidden="false" customHeight="true" outlineLevel="0" collapsed="false">
      <c r="A44" s="27" t="s">
        <v>157</v>
      </c>
      <c r="B44" s="27" t="s">
        <v>51</v>
      </c>
      <c r="C44" s="27" t="s">
        <v>158</v>
      </c>
      <c r="D44" s="41" t="n">
        <v>6</v>
      </c>
    </row>
    <row r="45" customFormat="false" ht="45" hidden="false" customHeight="true" outlineLevel="0" collapsed="false">
      <c r="A45" s="27" t="s">
        <v>159</v>
      </c>
      <c r="B45" s="27" t="s">
        <v>117</v>
      </c>
      <c r="C45" s="27" t="s">
        <v>160</v>
      </c>
      <c r="D45" s="41" t="n">
        <v>9</v>
      </c>
    </row>
    <row r="46" customFormat="false" ht="45" hidden="false" customHeight="true" outlineLevel="0" collapsed="false">
      <c r="A46" s="27" t="s">
        <v>161</v>
      </c>
      <c r="B46" s="27" t="s">
        <v>162</v>
      </c>
      <c r="C46" s="27" t="s">
        <v>163</v>
      </c>
      <c r="D46" s="41" t="n">
        <v>12</v>
      </c>
    </row>
    <row r="48" customFormat="false" ht="15" hidden="false" customHeight="false" outlineLevel="0" collapsed="false">
      <c r="A48" s="7" t="s">
        <v>164</v>
      </c>
    </row>
    <row r="49" customFormat="false" ht="15" hidden="false" customHeight="false" outlineLevel="0" collapsed="false">
      <c r="A49" s="32" t="s">
        <v>165</v>
      </c>
      <c r="B49" s="32" t="s">
        <v>166</v>
      </c>
      <c r="C49" s="32" t="s">
        <v>167</v>
      </c>
    </row>
    <row r="50" customFormat="false" ht="31.5" hidden="false" customHeight="true" outlineLevel="0" collapsed="false">
      <c r="A50" s="27" t="s">
        <v>168</v>
      </c>
      <c r="B50" s="27" t="s">
        <v>169</v>
      </c>
      <c r="C50" s="27" t="s">
        <v>170</v>
      </c>
    </row>
    <row r="51" customFormat="false" ht="31.5" hidden="false" customHeight="true" outlineLevel="0" collapsed="false">
      <c r="A51" s="27" t="s">
        <v>171</v>
      </c>
      <c r="B51" s="27" t="s">
        <v>172</v>
      </c>
      <c r="C51" s="27" t="s">
        <v>173</v>
      </c>
    </row>
    <row r="52" customFormat="false" ht="31.5" hidden="false" customHeight="true" outlineLevel="0" collapsed="false">
      <c r="A52" s="27" t="s">
        <v>174</v>
      </c>
      <c r="B52" s="27" t="s">
        <v>175</v>
      </c>
      <c r="C52" s="27" t="s">
        <v>176</v>
      </c>
    </row>
    <row r="53" customFormat="false" ht="31.5" hidden="false" customHeight="true" outlineLevel="0" collapsed="false">
      <c r="A53" s="27" t="s">
        <v>177</v>
      </c>
      <c r="B53" s="27" t="s">
        <v>178</v>
      </c>
      <c r="C53" s="27" t="s">
        <v>179</v>
      </c>
    </row>
    <row r="55" customFormat="false" ht="15" hidden="false" customHeight="false" outlineLevel="0" collapsed="false">
      <c r="A55" s="7" t="s">
        <v>180</v>
      </c>
    </row>
    <row r="56" customFormat="false" ht="15" hidden="false" customHeight="false" outlineLevel="0" collapsed="false">
      <c r="A56" s="32" t="s">
        <v>41</v>
      </c>
      <c r="B56" s="32" t="s">
        <v>181</v>
      </c>
      <c r="C56" s="32" t="s">
        <v>182</v>
      </c>
      <c r="D56" s="32" t="s">
        <v>183</v>
      </c>
    </row>
    <row r="57" customFormat="false" ht="19.5" hidden="false" customHeight="true" outlineLevel="0" collapsed="false">
      <c r="A57" s="27" t="s">
        <v>45</v>
      </c>
      <c r="B57" s="27" t="s">
        <v>184</v>
      </c>
      <c r="C57" s="27" t="s">
        <v>185</v>
      </c>
      <c r="D57" s="27" t="s">
        <v>186</v>
      </c>
    </row>
    <row r="58" customFormat="false" ht="19.5" hidden="false" customHeight="true" outlineLevel="0" collapsed="false">
      <c r="A58" s="27" t="s">
        <v>47</v>
      </c>
      <c r="B58" s="27" t="s">
        <v>187</v>
      </c>
      <c r="C58" s="27" t="s">
        <v>185</v>
      </c>
      <c r="D58" s="27" t="s">
        <v>186</v>
      </c>
    </row>
    <row r="59" customFormat="false" ht="19.5" hidden="false" customHeight="true" outlineLevel="0" collapsed="false">
      <c r="A59" s="27" t="s">
        <v>49</v>
      </c>
      <c r="B59" s="27" t="s">
        <v>188</v>
      </c>
      <c r="C59" s="27" t="s">
        <v>189</v>
      </c>
      <c r="D59" s="27" t="s">
        <v>190</v>
      </c>
    </row>
    <row r="60" customFormat="false" ht="19.5" hidden="false" customHeight="true" outlineLevel="0" collapsed="false">
      <c r="A60" s="27" t="s">
        <v>51</v>
      </c>
      <c r="B60" s="27" t="s">
        <v>188</v>
      </c>
      <c r="C60" s="27" t="s">
        <v>189</v>
      </c>
      <c r="D60" s="27" t="s">
        <v>190</v>
      </c>
    </row>
    <row r="62" customFormat="false" ht="45" hidden="false" customHeight="true" outlineLevel="0" collapsed="false">
      <c r="A62" s="31" t="s">
        <v>191</v>
      </c>
      <c r="B62" s="31"/>
      <c r="C62" s="31"/>
      <c r="D62" s="31"/>
      <c r="E62" s="31"/>
      <c r="F62" s="31"/>
    </row>
  </sheetData>
  <mergeCells count="5">
    <mergeCell ref="A5:F5"/>
    <mergeCell ref="A6:F6"/>
    <mergeCell ref="A25:F25"/>
    <mergeCell ref="A41:F41"/>
    <mergeCell ref="A62:F6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864"/>
    <pageSetUpPr fitToPage="true"/>
  </sheetPr>
  <dimension ref="A1:AE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9"/>
    <col collapsed="false" customWidth="true" hidden="false" outlineLevel="0" max="2" min="2" style="0" width="32"/>
    <col collapsed="false" customWidth="true" hidden="false" outlineLevel="0" max="3" min="3" style="0" width="20"/>
    <col collapsed="false" customWidth="true" hidden="false" outlineLevel="0" max="4" min="4" style="0" width="55"/>
    <col collapsed="false" customWidth="true" hidden="false" outlineLevel="0" max="5" min="5" style="0" width="28"/>
    <col collapsed="false" customWidth="true" hidden="false" outlineLevel="0" max="6" min="6" style="0" width="24"/>
    <col collapsed="false" customWidth="true" hidden="false" outlineLevel="0" max="7" min="7" style="0" width="34"/>
    <col collapsed="false" customWidth="true" hidden="false" outlineLevel="0" max="8" min="8" style="0" width="8"/>
    <col collapsed="false" customWidth="true" hidden="false" outlineLevel="0" max="9" min="9" style="0" width="16"/>
    <col collapsed="false" customWidth="true" hidden="false" outlineLevel="0" max="10" min="10" style="0" width="38"/>
    <col collapsed="false" customWidth="true" hidden="false" outlineLevel="0" max="11" min="11" style="0" width="11"/>
    <col collapsed="false" customWidth="true" hidden="false" outlineLevel="0" max="12" min="12" style="0" width="10"/>
    <col collapsed="false" customWidth="true" hidden="false" outlineLevel="0" max="13" min="13" style="0" width="9"/>
    <col collapsed="false" customWidth="true" hidden="false" outlineLevel="0" max="14" min="14" style="0" width="11"/>
    <col collapsed="false" customWidth="true" hidden="false" outlineLevel="0" max="15" min="15" style="0" width="50"/>
    <col collapsed="false" customWidth="true" hidden="false" outlineLevel="0" max="16" min="16" style="0" width="11"/>
    <col collapsed="false" customWidth="true" hidden="false" outlineLevel="0" max="17" min="17" style="0" width="55"/>
    <col collapsed="false" customWidth="true" hidden="false" outlineLevel="0" max="18" min="18" style="0" width="22"/>
    <col collapsed="false" customWidth="true" hidden="false" outlineLevel="0" max="19" min="19" style="0" width="20"/>
    <col collapsed="false" customWidth="true" hidden="false" outlineLevel="0" max="20" min="20" style="0" width="10"/>
    <col collapsed="false" customWidth="true" hidden="false" outlineLevel="0" max="22" min="21" style="0" width="9"/>
    <col collapsed="false" customWidth="true" hidden="false" outlineLevel="0" max="26" min="23" style="0" width="11"/>
    <col collapsed="false" customWidth="true" hidden="false" outlineLevel="0" max="27" min="27" style="0" width="12"/>
    <col collapsed="false" customWidth="true" hidden="false" outlineLevel="0" max="28" min="28" style="0" width="18"/>
    <col collapsed="false" customWidth="true" hidden="false" outlineLevel="0" max="30" min="29" style="0" width="12"/>
    <col collapsed="false" customWidth="true" hidden="false" outlineLevel="0" max="31" min="31" style="0" width="40"/>
  </cols>
  <sheetData>
    <row r="1" customFormat="false" ht="45" hidden="false" customHeight="true" outlineLevel="0" collapsed="false">
      <c r="A1" s="42" t="s">
        <v>64</v>
      </c>
      <c r="B1" s="42" t="s">
        <v>192</v>
      </c>
      <c r="C1" s="42" t="s">
        <v>151</v>
      </c>
      <c r="D1" s="42" t="s">
        <v>193</v>
      </c>
      <c r="E1" s="42" t="s">
        <v>194</v>
      </c>
      <c r="F1" s="42" t="s">
        <v>195</v>
      </c>
      <c r="G1" s="42" t="s">
        <v>196</v>
      </c>
      <c r="H1" s="42" t="s">
        <v>197</v>
      </c>
      <c r="I1" s="42" t="s">
        <v>188</v>
      </c>
      <c r="J1" s="42" t="s">
        <v>198</v>
      </c>
      <c r="K1" s="42" t="s">
        <v>199</v>
      </c>
      <c r="L1" s="42" t="s">
        <v>200</v>
      </c>
      <c r="M1" s="42" t="s">
        <v>201</v>
      </c>
      <c r="N1" s="42" t="s">
        <v>202</v>
      </c>
      <c r="O1" s="42" t="s">
        <v>203</v>
      </c>
      <c r="P1" s="42" t="s">
        <v>204</v>
      </c>
      <c r="Q1" s="42" t="s">
        <v>205</v>
      </c>
      <c r="R1" s="42" t="s">
        <v>206</v>
      </c>
      <c r="S1" s="42" t="s">
        <v>207</v>
      </c>
      <c r="T1" s="42" t="s">
        <v>208</v>
      </c>
      <c r="U1" s="42" t="s">
        <v>209</v>
      </c>
      <c r="V1" s="42" t="s">
        <v>210</v>
      </c>
      <c r="W1" s="42" t="s">
        <v>211</v>
      </c>
      <c r="X1" s="42" t="s">
        <v>212</v>
      </c>
      <c r="Y1" s="42" t="s">
        <v>213</v>
      </c>
      <c r="Z1" s="42" t="s">
        <v>214</v>
      </c>
      <c r="AA1" s="42" t="s">
        <v>215</v>
      </c>
      <c r="AB1" s="42" t="s">
        <v>216</v>
      </c>
      <c r="AC1" s="42" t="s">
        <v>217</v>
      </c>
      <c r="AD1" s="42" t="s">
        <v>218</v>
      </c>
      <c r="AE1" s="42" t="s">
        <v>219</v>
      </c>
    </row>
    <row r="2" customFormat="false" ht="57.45" hidden="false" customHeight="false" outlineLevel="0" collapsed="false">
      <c r="A2" s="25" t="s">
        <v>66</v>
      </c>
      <c r="B2" s="27" t="s">
        <v>220</v>
      </c>
      <c r="C2" s="27" t="s">
        <v>155</v>
      </c>
      <c r="D2" s="27" t="s">
        <v>221</v>
      </c>
      <c r="E2" s="27" t="s">
        <v>222</v>
      </c>
      <c r="F2" s="27" t="s">
        <v>223</v>
      </c>
      <c r="G2" s="27" t="s">
        <v>224</v>
      </c>
      <c r="H2" s="19" t="s">
        <v>225</v>
      </c>
      <c r="I2" s="27" t="s">
        <v>62</v>
      </c>
      <c r="J2" s="27" t="s">
        <v>226</v>
      </c>
      <c r="K2" s="43" t="n">
        <v>4</v>
      </c>
      <c r="L2" s="43" t="n">
        <v>5</v>
      </c>
      <c r="M2" s="19" t="n">
        <f aca="false">K2*L2</f>
        <v>20</v>
      </c>
      <c r="N2" s="30" t="str">
        <f aca="false">IF(M2&gt;=20,"Critical",IF(M2&gt;=10,"High",IF(M2&gt;=5,"Medium","Low")))</f>
        <v>Critical</v>
      </c>
      <c r="O2" s="27" t="s">
        <v>227</v>
      </c>
      <c r="P2" s="43" t="s">
        <v>168</v>
      </c>
      <c r="Q2" s="27" t="s">
        <v>228</v>
      </c>
      <c r="R2" s="27" t="s">
        <v>229</v>
      </c>
      <c r="S2" s="27" t="s">
        <v>230</v>
      </c>
      <c r="T2" s="43" t="n">
        <v>1</v>
      </c>
      <c r="U2" s="43" t="n">
        <v>5</v>
      </c>
      <c r="V2" s="19" t="n">
        <f aca="false">T2*U2</f>
        <v>5</v>
      </c>
      <c r="W2" s="30" t="str">
        <f aca="false">IF(V2&gt;=20,"Critical",IF(V2&gt;=10,"High",IF(V2&gt;=5,"Medium","Low")))</f>
        <v>Medium</v>
      </c>
      <c r="X2" s="19" t="n">
        <f aca="false">INDEX(Methodology!$D$43:$D$46,MATCH(C2,Methodology!$A$43:$A$46,0))</f>
        <v>6</v>
      </c>
      <c r="Y2" s="30" t="str">
        <f aca="false">IF(M2&lt;=X2,"Yes","No")</f>
        <v>No</v>
      </c>
      <c r="Z2" s="30" t="str">
        <f aca="false">IF(V2&lt;=X2,"Yes","No")</f>
        <v>Yes</v>
      </c>
      <c r="AA2" s="44" t="n">
        <v>46626</v>
      </c>
      <c r="AB2" s="45" t="s">
        <v>231</v>
      </c>
      <c r="AC2" s="46" t="n">
        <v>46322</v>
      </c>
      <c r="AD2" s="44" t="n">
        <f aca="false">AC2+IF(OR(N2="Critical",N2="High"),30,91)</f>
        <v>46352</v>
      </c>
      <c r="AE2" s="27" t="s">
        <v>232</v>
      </c>
    </row>
    <row r="3" customFormat="false" ht="57.45" hidden="false" customHeight="false" outlineLevel="0" collapsed="false">
      <c r="A3" s="25" t="s">
        <v>68</v>
      </c>
      <c r="B3" s="27" t="s">
        <v>233</v>
      </c>
      <c r="C3" s="27" t="s">
        <v>155</v>
      </c>
      <c r="D3" s="27" t="s">
        <v>234</v>
      </c>
      <c r="E3" s="27" t="s">
        <v>235</v>
      </c>
      <c r="F3" s="27" t="s">
        <v>236</v>
      </c>
      <c r="G3" s="27" t="s">
        <v>237</v>
      </c>
      <c r="H3" s="19" t="s">
        <v>225</v>
      </c>
      <c r="I3" s="27" t="s">
        <v>61</v>
      </c>
      <c r="J3" s="27" t="s">
        <v>238</v>
      </c>
      <c r="K3" s="43" t="n">
        <v>4</v>
      </c>
      <c r="L3" s="43" t="n">
        <v>4</v>
      </c>
      <c r="M3" s="19" t="n">
        <f aca="false">K3*L3</f>
        <v>16</v>
      </c>
      <c r="N3" s="30" t="str">
        <f aca="false">IF(M3&gt;=20,"Critical",IF(M3&gt;=10,"High",IF(M3&gt;=5,"Medium","Low")))</f>
        <v>High</v>
      </c>
      <c r="O3" s="27" t="s">
        <v>239</v>
      </c>
      <c r="P3" s="43" t="s">
        <v>168</v>
      </c>
      <c r="Q3" s="27" t="s">
        <v>240</v>
      </c>
      <c r="R3" s="27" t="s">
        <v>241</v>
      </c>
      <c r="S3" s="27" t="s">
        <v>242</v>
      </c>
      <c r="T3" s="43" t="n">
        <v>1</v>
      </c>
      <c r="U3" s="43" t="n">
        <v>4</v>
      </c>
      <c r="V3" s="19" t="n">
        <f aca="false">T3*U3</f>
        <v>4</v>
      </c>
      <c r="W3" s="30" t="str">
        <f aca="false">IF(V3&gt;=20,"Critical",IF(V3&gt;=10,"High",IF(V3&gt;=5,"Medium","Low")))</f>
        <v>Low</v>
      </c>
      <c r="X3" s="19" t="n">
        <f aca="false">INDEX(Methodology!$D$43:$D$46,MATCH(C3,Methodology!$A$43:$A$46,0))</f>
        <v>6</v>
      </c>
      <c r="Y3" s="30" t="str">
        <f aca="false">IF(M3&lt;=X3,"Yes","No")</f>
        <v>No</v>
      </c>
      <c r="Z3" s="30" t="str">
        <f aca="false">IF(V3&lt;=X3,"Yes","No")</f>
        <v>Yes</v>
      </c>
      <c r="AA3" s="44" t="n">
        <v>46477</v>
      </c>
      <c r="AB3" s="45" t="s">
        <v>231</v>
      </c>
      <c r="AC3" s="46" t="n">
        <v>46322</v>
      </c>
      <c r="AD3" s="44" t="n">
        <f aca="false">AC3+IF(OR(N3="Critical",N3="High"),30,91)</f>
        <v>46352</v>
      </c>
      <c r="AE3" s="27" t="s">
        <v>243</v>
      </c>
    </row>
    <row r="4" customFormat="false" ht="68.65" hidden="false" customHeight="false" outlineLevel="0" collapsed="false">
      <c r="A4" s="25" t="s">
        <v>72</v>
      </c>
      <c r="B4" s="27" t="s">
        <v>244</v>
      </c>
      <c r="C4" s="27" t="s">
        <v>155</v>
      </c>
      <c r="D4" s="27" t="s">
        <v>245</v>
      </c>
      <c r="E4" s="27" t="s">
        <v>246</v>
      </c>
      <c r="F4" s="27" t="s">
        <v>247</v>
      </c>
      <c r="G4" s="27" t="s">
        <v>248</v>
      </c>
      <c r="H4" s="19" t="s">
        <v>249</v>
      </c>
      <c r="I4" s="27" t="s">
        <v>62</v>
      </c>
      <c r="J4" s="27" t="s">
        <v>250</v>
      </c>
      <c r="K4" s="43" t="n">
        <v>3</v>
      </c>
      <c r="L4" s="43" t="n">
        <v>5</v>
      </c>
      <c r="M4" s="19" t="n">
        <f aca="false">K4*L4</f>
        <v>15</v>
      </c>
      <c r="N4" s="30" t="str">
        <f aca="false">IF(M4&gt;=20,"Critical",IF(M4&gt;=10,"High",IF(M4&gt;=5,"Medium","Low")))</f>
        <v>High</v>
      </c>
      <c r="O4" s="27" t="s">
        <v>251</v>
      </c>
      <c r="P4" s="43" t="s">
        <v>168</v>
      </c>
      <c r="Q4" s="27" t="s">
        <v>252</v>
      </c>
      <c r="R4" s="27" t="s">
        <v>253</v>
      </c>
      <c r="S4" s="27" t="s">
        <v>254</v>
      </c>
      <c r="T4" s="43" t="n">
        <v>2</v>
      </c>
      <c r="U4" s="43" t="n">
        <v>3</v>
      </c>
      <c r="V4" s="19" t="n">
        <f aca="false">T4*U4</f>
        <v>6</v>
      </c>
      <c r="W4" s="30" t="str">
        <f aca="false">IF(V4&gt;=20,"Critical",IF(V4&gt;=10,"High",IF(V4&gt;=5,"Medium","Low")))</f>
        <v>Medium</v>
      </c>
      <c r="X4" s="19" t="n">
        <f aca="false">INDEX(Methodology!$D$43:$D$46,MATCH(C4,Methodology!$A$43:$A$46,0))</f>
        <v>6</v>
      </c>
      <c r="Y4" s="30" t="str">
        <f aca="false">IF(M4&lt;=X4,"Yes","No")</f>
        <v>No</v>
      </c>
      <c r="Z4" s="30" t="str">
        <f aca="false">IF(V4&lt;=X4,"Yes","No")</f>
        <v>Yes</v>
      </c>
      <c r="AA4" s="44" t="n">
        <v>46535</v>
      </c>
      <c r="AB4" s="45" t="s">
        <v>231</v>
      </c>
      <c r="AC4" s="46" t="n">
        <v>46322</v>
      </c>
      <c r="AD4" s="44" t="n">
        <f aca="false">AC4+IF(OR(N4="Critical",N4="High"),30,91)</f>
        <v>46352</v>
      </c>
      <c r="AE4" s="27" t="s">
        <v>255</v>
      </c>
    </row>
    <row r="5" customFormat="false" ht="57.45" hidden="false" customHeight="false" outlineLevel="0" collapsed="false">
      <c r="A5" s="25" t="s">
        <v>69</v>
      </c>
      <c r="B5" s="27" t="s">
        <v>256</v>
      </c>
      <c r="C5" s="27" t="s">
        <v>159</v>
      </c>
      <c r="D5" s="27" t="s">
        <v>257</v>
      </c>
      <c r="E5" s="27" t="s">
        <v>258</v>
      </c>
      <c r="F5" s="27" t="s">
        <v>259</v>
      </c>
      <c r="G5" s="27" t="s">
        <v>260</v>
      </c>
      <c r="H5" s="19" t="s">
        <v>261</v>
      </c>
      <c r="I5" s="27" t="s">
        <v>59</v>
      </c>
      <c r="J5" s="27" t="s">
        <v>262</v>
      </c>
      <c r="K5" s="43" t="n">
        <v>4</v>
      </c>
      <c r="L5" s="43" t="n">
        <v>4</v>
      </c>
      <c r="M5" s="19" t="n">
        <f aca="false">K5*L5</f>
        <v>16</v>
      </c>
      <c r="N5" s="30" t="str">
        <f aca="false">IF(M5&gt;=20,"Critical",IF(M5&gt;=10,"High",IF(M5&gt;=5,"Medium","Low")))</f>
        <v>High</v>
      </c>
      <c r="O5" s="27" t="s">
        <v>263</v>
      </c>
      <c r="P5" s="43" t="s">
        <v>168</v>
      </c>
      <c r="Q5" s="27" t="s">
        <v>264</v>
      </c>
      <c r="R5" s="27" t="s">
        <v>265</v>
      </c>
      <c r="S5" s="27" t="s">
        <v>266</v>
      </c>
      <c r="T5" s="43" t="n">
        <v>2</v>
      </c>
      <c r="U5" s="43" t="n">
        <v>3</v>
      </c>
      <c r="V5" s="19" t="n">
        <f aca="false">T5*U5</f>
        <v>6</v>
      </c>
      <c r="W5" s="30" t="str">
        <f aca="false">IF(V5&gt;=20,"Critical",IF(V5&gt;=10,"High",IF(V5&gt;=5,"Medium","Low")))</f>
        <v>Medium</v>
      </c>
      <c r="X5" s="19" t="n">
        <f aca="false">INDEX(Methodology!$D$43:$D$46,MATCH(C5,Methodology!$A$43:$A$46,0))</f>
        <v>9</v>
      </c>
      <c r="Y5" s="30" t="str">
        <f aca="false">IF(M5&lt;=X5,"Yes","No")</f>
        <v>No</v>
      </c>
      <c r="Z5" s="30" t="str">
        <f aca="false">IF(V5&lt;=X5,"Yes","No")</f>
        <v>Yes</v>
      </c>
      <c r="AA5" s="44" t="n">
        <v>46507</v>
      </c>
      <c r="AB5" s="45" t="s">
        <v>231</v>
      </c>
      <c r="AC5" s="46" t="n">
        <v>46322</v>
      </c>
      <c r="AD5" s="44" t="n">
        <f aca="false">AC5+IF(OR(N5="Critical",N5="High"),30,91)</f>
        <v>46352</v>
      </c>
      <c r="AE5" s="27"/>
    </row>
    <row r="6" customFormat="false" ht="57.45" hidden="false" customHeight="false" outlineLevel="0" collapsed="false">
      <c r="A6" s="25" t="s">
        <v>267</v>
      </c>
      <c r="B6" s="27" t="s">
        <v>268</v>
      </c>
      <c r="C6" s="27" t="s">
        <v>159</v>
      </c>
      <c r="D6" s="27" t="s">
        <v>269</v>
      </c>
      <c r="E6" s="27" t="s">
        <v>270</v>
      </c>
      <c r="F6" s="27" t="s">
        <v>271</v>
      </c>
      <c r="G6" s="27" t="s">
        <v>272</v>
      </c>
      <c r="H6" s="19" t="s">
        <v>225</v>
      </c>
      <c r="I6" s="27" t="s">
        <v>59</v>
      </c>
      <c r="J6" s="27" t="s">
        <v>273</v>
      </c>
      <c r="K6" s="43" t="n">
        <v>3</v>
      </c>
      <c r="L6" s="43" t="n">
        <v>4</v>
      </c>
      <c r="M6" s="19" t="n">
        <f aca="false">K6*L6</f>
        <v>12</v>
      </c>
      <c r="N6" s="30" t="str">
        <f aca="false">IF(M6&gt;=20,"Critical",IF(M6&gt;=10,"High",IF(M6&gt;=5,"Medium","Low")))</f>
        <v>High</v>
      </c>
      <c r="O6" s="27" t="s">
        <v>274</v>
      </c>
      <c r="P6" s="43" t="s">
        <v>168</v>
      </c>
      <c r="Q6" s="27" t="s">
        <v>275</v>
      </c>
      <c r="R6" s="27" t="s">
        <v>276</v>
      </c>
      <c r="S6" s="27" t="s">
        <v>277</v>
      </c>
      <c r="T6" s="43" t="n">
        <v>2</v>
      </c>
      <c r="U6" s="43" t="n">
        <v>3</v>
      </c>
      <c r="V6" s="19" t="n">
        <f aca="false">T6*U6</f>
        <v>6</v>
      </c>
      <c r="W6" s="30" t="str">
        <f aca="false">IF(V6&gt;=20,"Critical",IF(V6&gt;=10,"High",IF(V6&gt;=5,"Medium","Low")))</f>
        <v>Medium</v>
      </c>
      <c r="X6" s="19" t="n">
        <f aca="false">INDEX(Methodology!$D$43:$D$46,MATCH(C6,Methodology!$A$43:$A$46,0))</f>
        <v>9</v>
      </c>
      <c r="Y6" s="30" t="str">
        <f aca="false">IF(M6&lt;=X6,"Yes","No")</f>
        <v>No</v>
      </c>
      <c r="Z6" s="30" t="str">
        <f aca="false">IF(V6&lt;=X6,"Yes","No")</f>
        <v>Yes</v>
      </c>
      <c r="AA6" s="44" t="n">
        <v>46626</v>
      </c>
      <c r="AB6" s="45" t="s">
        <v>231</v>
      </c>
      <c r="AC6" s="46" t="n">
        <v>46322</v>
      </c>
      <c r="AD6" s="44" t="n">
        <f aca="false">AC6+IF(OR(N6="Critical",N6="High"),30,91)</f>
        <v>46352</v>
      </c>
      <c r="AE6" s="27"/>
    </row>
    <row r="7" customFormat="false" ht="57.45" hidden="false" customHeight="false" outlineLevel="0" collapsed="false">
      <c r="A7" s="25" t="s">
        <v>278</v>
      </c>
      <c r="B7" s="27" t="s">
        <v>279</v>
      </c>
      <c r="C7" s="27" t="s">
        <v>157</v>
      </c>
      <c r="D7" s="27" t="s">
        <v>280</v>
      </c>
      <c r="E7" s="27" t="s">
        <v>281</v>
      </c>
      <c r="F7" s="27" t="s">
        <v>282</v>
      </c>
      <c r="G7" s="27" t="s">
        <v>283</v>
      </c>
      <c r="H7" s="19" t="s">
        <v>284</v>
      </c>
      <c r="I7" s="27" t="s">
        <v>62</v>
      </c>
      <c r="J7" s="27" t="s">
        <v>285</v>
      </c>
      <c r="K7" s="43" t="n">
        <v>3</v>
      </c>
      <c r="L7" s="43" t="n">
        <v>4</v>
      </c>
      <c r="M7" s="19" t="n">
        <f aca="false">K7*L7</f>
        <v>12</v>
      </c>
      <c r="N7" s="30" t="str">
        <f aca="false">IF(M7&gt;=20,"Critical",IF(M7&gt;=10,"High",IF(M7&gt;=5,"Medium","Low")))</f>
        <v>High</v>
      </c>
      <c r="O7" s="27" t="s">
        <v>286</v>
      </c>
      <c r="P7" s="43" t="s">
        <v>168</v>
      </c>
      <c r="Q7" s="27" t="s">
        <v>287</v>
      </c>
      <c r="R7" s="27" t="s">
        <v>288</v>
      </c>
      <c r="S7" s="27" t="s">
        <v>289</v>
      </c>
      <c r="T7" s="43" t="n">
        <v>2</v>
      </c>
      <c r="U7" s="43" t="n">
        <v>3</v>
      </c>
      <c r="V7" s="19" t="n">
        <f aca="false">T7*U7</f>
        <v>6</v>
      </c>
      <c r="W7" s="30" t="str">
        <f aca="false">IF(V7&gt;=20,"Critical",IF(V7&gt;=10,"High",IF(V7&gt;=5,"Medium","Low")))</f>
        <v>Medium</v>
      </c>
      <c r="X7" s="19" t="n">
        <f aca="false">INDEX(Methodology!$D$43:$D$46,MATCH(C7,Methodology!$A$43:$A$46,0))</f>
        <v>6</v>
      </c>
      <c r="Y7" s="30" t="str">
        <f aca="false">IF(M7&lt;=X7,"Yes","No")</f>
        <v>No</v>
      </c>
      <c r="Z7" s="30" t="str">
        <f aca="false">IF(V7&lt;=X7,"Yes","No")</f>
        <v>Yes</v>
      </c>
      <c r="AA7" s="44" t="n">
        <v>46660</v>
      </c>
      <c r="AB7" s="45" t="s">
        <v>231</v>
      </c>
      <c r="AC7" s="46" t="n">
        <v>46322</v>
      </c>
      <c r="AD7" s="44" t="n">
        <f aca="false">AC7+IF(OR(N7="Critical",N7="High"),30,91)</f>
        <v>46352</v>
      </c>
      <c r="AE7" s="27"/>
    </row>
    <row r="8" customFormat="false" ht="57.45" hidden="false" customHeight="false" outlineLevel="0" collapsed="false">
      <c r="A8" s="25" t="s">
        <v>290</v>
      </c>
      <c r="B8" s="27" t="s">
        <v>291</v>
      </c>
      <c r="C8" s="27" t="s">
        <v>157</v>
      </c>
      <c r="D8" s="27" t="s">
        <v>292</v>
      </c>
      <c r="E8" s="27" t="s">
        <v>293</v>
      </c>
      <c r="F8" s="27" t="s">
        <v>294</v>
      </c>
      <c r="G8" s="27" t="s">
        <v>295</v>
      </c>
      <c r="H8" s="19" t="s">
        <v>284</v>
      </c>
      <c r="I8" s="27" t="s">
        <v>58</v>
      </c>
      <c r="J8" s="27" t="s">
        <v>296</v>
      </c>
      <c r="K8" s="43" t="n">
        <v>3</v>
      </c>
      <c r="L8" s="43" t="n">
        <v>3</v>
      </c>
      <c r="M8" s="19" t="n">
        <f aca="false">K8*L8</f>
        <v>9</v>
      </c>
      <c r="N8" s="30" t="str">
        <f aca="false">IF(M8&gt;=20,"Critical",IF(M8&gt;=10,"High",IF(M8&gt;=5,"Medium","Low")))</f>
        <v>Medium</v>
      </c>
      <c r="O8" s="27" t="s">
        <v>297</v>
      </c>
      <c r="P8" s="43" t="s">
        <v>168</v>
      </c>
      <c r="Q8" s="27" t="s">
        <v>298</v>
      </c>
      <c r="R8" s="27" t="s">
        <v>299</v>
      </c>
      <c r="S8" s="27" t="s">
        <v>300</v>
      </c>
      <c r="T8" s="43" t="n">
        <v>1</v>
      </c>
      <c r="U8" s="43" t="n">
        <v>3</v>
      </c>
      <c r="V8" s="19" t="n">
        <f aca="false">T8*U8</f>
        <v>3</v>
      </c>
      <c r="W8" s="30" t="str">
        <f aca="false">IF(V8&gt;=20,"Critical",IF(V8&gt;=10,"High",IF(V8&gt;=5,"Medium","Low")))</f>
        <v>Low</v>
      </c>
      <c r="X8" s="19" t="n">
        <f aca="false">INDEX(Methodology!$D$43:$D$46,MATCH(C8,Methodology!$A$43:$A$46,0))</f>
        <v>6</v>
      </c>
      <c r="Y8" s="30" t="str">
        <f aca="false">IF(M8&lt;=X8,"Yes","No")</f>
        <v>No</v>
      </c>
      <c r="Z8" s="30" t="str">
        <f aca="false">IF(V8&lt;=X8,"Yes","No")</f>
        <v>Yes</v>
      </c>
      <c r="AA8" s="44" t="n">
        <v>46507</v>
      </c>
      <c r="AB8" s="45" t="s">
        <v>231</v>
      </c>
      <c r="AC8" s="46" t="n">
        <v>46322</v>
      </c>
      <c r="AD8" s="44" t="n">
        <f aca="false">AC8+IF(OR(N8="Critical",N8="High"),30,91)</f>
        <v>46413</v>
      </c>
      <c r="AE8" s="27" t="s">
        <v>301</v>
      </c>
    </row>
    <row r="9" customFormat="false" ht="79.85" hidden="false" customHeight="false" outlineLevel="0" collapsed="false">
      <c r="A9" s="25" t="s">
        <v>73</v>
      </c>
      <c r="B9" s="27" t="s">
        <v>302</v>
      </c>
      <c r="C9" s="27" t="s">
        <v>155</v>
      </c>
      <c r="D9" s="27" t="s">
        <v>303</v>
      </c>
      <c r="E9" s="27" t="s">
        <v>304</v>
      </c>
      <c r="F9" s="27" t="s">
        <v>305</v>
      </c>
      <c r="G9" s="27" t="s">
        <v>306</v>
      </c>
      <c r="H9" s="19" t="s">
        <v>225</v>
      </c>
      <c r="I9" s="27" t="s">
        <v>58</v>
      </c>
      <c r="J9" s="27" t="s">
        <v>307</v>
      </c>
      <c r="K9" s="43" t="n">
        <v>3</v>
      </c>
      <c r="L9" s="43" t="n">
        <v>5</v>
      </c>
      <c r="M9" s="19" t="n">
        <f aca="false">K9*L9</f>
        <v>15</v>
      </c>
      <c r="N9" s="30" t="str">
        <f aca="false">IF(M9&gt;=20,"Critical",IF(M9&gt;=10,"High",IF(M9&gt;=5,"Medium","Low")))</f>
        <v>High</v>
      </c>
      <c r="O9" s="27" t="s">
        <v>308</v>
      </c>
      <c r="P9" s="43" t="s">
        <v>168</v>
      </c>
      <c r="Q9" s="27" t="s">
        <v>309</v>
      </c>
      <c r="R9" s="27" t="s">
        <v>310</v>
      </c>
      <c r="S9" s="27" t="s">
        <v>311</v>
      </c>
      <c r="T9" s="43" t="n">
        <v>2</v>
      </c>
      <c r="U9" s="43" t="n">
        <v>3</v>
      </c>
      <c r="V9" s="19" t="n">
        <f aca="false">T9*U9</f>
        <v>6</v>
      </c>
      <c r="W9" s="30" t="str">
        <f aca="false">IF(V9&gt;=20,"Critical",IF(V9&gt;=10,"High",IF(V9&gt;=5,"Medium","Low")))</f>
        <v>Medium</v>
      </c>
      <c r="X9" s="19" t="n">
        <f aca="false">INDEX(Methodology!$D$43:$D$46,MATCH(C9,Methodology!$A$43:$A$46,0))</f>
        <v>6</v>
      </c>
      <c r="Y9" s="30" t="str">
        <f aca="false">IF(M9&lt;=X9,"Yes","No")</f>
        <v>No</v>
      </c>
      <c r="Z9" s="30" t="str">
        <f aca="false">IF(V9&lt;=X9,"Yes","No")</f>
        <v>Yes</v>
      </c>
      <c r="AA9" s="44" t="n">
        <v>46598</v>
      </c>
      <c r="AB9" s="45" t="s">
        <v>231</v>
      </c>
      <c r="AC9" s="46" t="n">
        <v>46322</v>
      </c>
      <c r="AD9" s="44" t="n">
        <f aca="false">AC9+IF(OR(N9="Critical",N9="High"),30,91)</f>
        <v>46352</v>
      </c>
      <c r="AE9" s="27" t="s">
        <v>312</v>
      </c>
    </row>
    <row r="10" customFormat="false" ht="46.25" hidden="false" customHeight="false" outlineLevel="0" collapsed="false">
      <c r="A10" s="25" t="s">
        <v>313</v>
      </c>
      <c r="B10" s="27" t="s">
        <v>314</v>
      </c>
      <c r="C10" s="27" t="s">
        <v>159</v>
      </c>
      <c r="D10" s="27" t="s">
        <v>315</v>
      </c>
      <c r="E10" s="27" t="s">
        <v>316</v>
      </c>
      <c r="F10" s="27" t="s">
        <v>317</v>
      </c>
      <c r="G10" s="27" t="s">
        <v>318</v>
      </c>
      <c r="H10" s="19" t="s">
        <v>261</v>
      </c>
      <c r="I10" s="27" t="s">
        <v>59</v>
      </c>
      <c r="J10" s="27" t="s">
        <v>319</v>
      </c>
      <c r="K10" s="43" t="n">
        <v>3</v>
      </c>
      <c r="L10" s="43" t="n">
        <v>5</v>
      </c>
      <c r="M10" s="19" t="n">
        <f aca="false">K10*L10</f>
        <v>15</v>
      </c>
      <c r="N10" s="30" t="str">
        <f aca="false">IF(M10&gt;=20,"Critical",IF(M10&gt;=10,"High",IF(M10&gt;=5,"Medium","Low")))</f>
        <v>High</v>
      </c>
      <c r="O10" s="27" t="s">
        <v>320</v>
      </c>
      <c r="P10" s="43" t="s">
        <v>168</v>
      </c>
      <c r="Q10" s="27" t="s">
        <v>321</v>
      </c>
      <c r="R10" s="27" t="s">
        <v>322</v>
      </c>
      <c r="S10" s="27" t="s">
        <v>323</v>
      </c>
      <c r="T10" s="43" t="n">
        <v>1</v>
      </c>
      <c r="U10" s="43" t="n">
        <v>4</v>
      </c>
      <c r="V10" s="19" t="n">
        <f aca="false">T10*U10</f>
        <v>4</v>
      </c>
      <c r="W10" s="30" t="str">
        <f aca="false">IF(V10&gt;=20,"Critical",IF(V10&gt;=10,"High",IF(V10&gt;=5,"Medium","Low")))</f>
        <v>Low</v>
      </c>
      <c r="X10" s="19" t="n">
        <f aca="false">INDEX(Methodology!$D$43:$D$46,MATCH(C10,Methodology!$A$43:$A$46,0))</f>
        <v>9</v>
      </c>
      <c r="Y10" s="30" t="str">
        <f aca="false">IF(M10&lt;=X10,"Yes","No")</f>
        <v>No</v>
      </c>
      <c r="Z10" s="30" t="str">
        <f aca="false">IF(V10&lt;=X10,"Yes","No")</f>
        <v>Yes</v>
      </c>
      <c r="AA10" s="44" t="n">
        <v>46477</v>
      </c>
      <c r="AB10" s="45" t="s">
        <v>231</v>
      </c>
      <c r="AC10" s="46" t="n">
        <v>46322</v>
      </c>
      <c r="AD10" s="44" t="n">
        <f aca="false">AC10+IF(OR(N10="Critical",N10="High"),30,91)</f>
        <v>46352</v>
      </c>
      <c r="AE10" s="27"/>
    </row>
    <row r="11" customFormat="false" ht="57.45" hidden="false" customHeight="false" outlineLevel="0" collapsed="false">
      <c r="A11" s="25" t="s">
        <v>70</v>
      </c>
      <c r="B11" s="27" t="s">
        <v>324</v>
      </c>
      <c r="C11" s="27" t="s">
        <v>159</v>
      </c>
      <c r="D11" s="27" t="s">
        <v>325</v>
      </c>
      <c r="E11" s="27" t="s">
        <v>326</v>
      </c>
      <c r="F11" s="27" t="s">
        <v>327</v>
      </c>
      <c r="G11" s="27" t="s">
        <v>328</v>
      </c>
      <c r="H11" s="19" t="s">
        <v>225</v>
      </c>
      <c r="I11" s="27" t="s">
        <v>59</v>
      </c>
      <c r="J11" s="27" t="s">
        <v>329</v>
      </c>
      <c r="K11" s="43" t="n">
        <v>4</v>
      </c>
      <c r="L11" s="43" t="n">
        <v>4</v>
      </c>
      <c r="M11" s="19" t="n">
        <f aca="false">K11*L11</f>
        <v>16</v>
      </c>
      <c r="N11" s="30" t="str">
        <f aca="false">IF(M11&gt;=20,"Critical",IF(M11&gt;=10,"High",IF(M11&gt;=5,"Medium","Low")))</f>
        <v>High</v>
      </c>
      <c r="O11" s="27" t="s">
        <v>330</v>
      </c>
      <c r="P11" s="43" t="s">
        <v>168</v>
      </c>
      <c r="Q11" s="27" t="s">
        <v>331</v>
      </c>
      <c r="R11" s="27" t="s">
        <v>332</v>
      </c>
      <c r="S11" s="27" t="s">
        <v>333</v>
      </c>
      <c r="T11" s="43" t="n">
        <v>2</v>
      </c>
      <c r="U11" s="43" t="n">
        <v>3</v>
      </c>
      <c r="V11" s="19" t="n">
        <f aca="false">T11*U11</f>
        <v>6</v>
      </c>
      <c r="W11" s="30" t="str">
        <f aca="false">IF(V11&gt;=20,"Critical",IF(V11&gt;=10,"High",IF(V11&gt;=5,"Medium","Low")))</f>
        <v>Medium</v>
      </c>
      <c r="X11" s="19" t="n">
        <f aca="false">INDEX(Methodology!$D$43:$D$46,MATCH(C11,Methodology!$A$43:$A$46,0))</f>
        <v>9</v>
      </c>
      <c r="Y11" s="30" t="str">
        <f aca="false">IF(M11&lt;=X11,"Yes","No")</f>
        <v>No</v>
      </c>
      <c r="Z11" s="30" t="str">
        <f aca="false">IF(V11&lt;=X11,"Yes","No")</f>
        <v>Yes</v>
      </c>
      <c r="AA11" s="44" t="n">
        <v>46660</v>
      </c>
      <c r="AB11" s="45" t="s">
        <v>231</v>
      </c>
      <c r="AC11" s="46" t="n">
        <v>46322</v>
      </c>
      <c r="AD11" s="44" t="n">
        <f aca="false">AC11+IF(OR(N11="Critical",N11="High"),30,91)</f>
        <v>46352</v>
      </c>
      <c r="AE11" s="27"/>
    </row>
    <row r="12" customFormat="false" ht="57.45" hidden="false" customHeight="false" outlineLevel="0" collapsed="false">
      <c r="A12" s="25" t="s">
        <v>71</v>
      </c>
      <c r="B12" s="27" t="s">
        <v>334</v>
      </c>
      <c r="C12" s="27" t="s">
        <v>157</v>
      </c>
      <c r="D12" s="27" t="s">
        <v>335</v>
      </c>
      <c r="E12" s="27" t="s">
        <v>336</v>
      </c>
      <c r="F12" s="27" t="s">
        <v>337</v>
      </c>
      <c r="G12" s="27" t="s">
        <v>338</v>
      </c>
      <c r="H12" s="19" t="s">
        <v>225</v>
      </c>
      <c r="I12" s="27" t="s">
        <v>62</v>
      </c>
      <c r="J12" s="27" t="s">
        <v>339</v>
      </c>
      <c r="K12" s="43" t="n">
        <v>4</v>
      </c>
      <c r="L12" s="43" t="n">
        <v>4</v>
      </c>
      <c r="M12" s="19" t="n">
        <f aca="false">K12*L12</f>
        <v>16</v>
      </c>
      <c r="N12" s="30" t="str">
        <f aca="false">IF(M12&gt;=20,"Critical",IF(M12&gt;=10,"High",IF(M12&gt;=5,"Medium","Low")))</f>
        <v>High</v>
      </c>
      <c r="O12" s="27" t="s">
        <v>340</v>
      </c>
      <c r="P12" s="43" t="s">
        <v>168</v>
      </c>
      <c r="Q12" s="27" t="s">
        <v>341</v>
      </c>
      <c r="R12" s="27" t="s">
        <v>342</v>
      </c>
      <c r="S12" s="27" t="s">
        <v>343</v>
      </c>
      <c r="T12" s="43" t="n">
        <v>2</v>
      </c>
      <c r="U12" s="43" t="n">
        <v>3</v>
      </c>
      <c r="V12" s="19" t="n">
        <f aca="false">T12*U12</f>
        <v>6</v>
      </c>
      <c r="W12" s="30" t="str">
        <f aca="false">IF(V12&gt;=20,"Critical",IF(V12&gt;=10,"High",IF(V12&gt;=5,"Medium","Low")))</f>
        <v>Medium</v>
      </c>
      <c r="X12" s="19" t="n">
        <f aca="false">INDEX(Methodology!$D$43:$D$46,MATCH(C12,Methodology!$A$43:$A$46,0))</f>
        <v>6</v>
      </c>
      <c r="Y12" s="30" t="str">
        <f aca="false">IF(M12&lt;=X12,"Yes","No")</f>
        <v>No</v>
      </c>
      <c r="Z12" s="30" t="str">
        <f aca="false">IF(V12&lt;=X12,"Yes","No")</f>
        <v>Yes</v>
      </c>
      <c r="AA12" s="44" t="n">
        <v>46535</v>
      </c>
      <c r="AB12" s="45" t="s">
        <v>231</v>
      </c>
      <c r="AC12" s="46" t="n">
        <v>46322</v>
      </c>
      <c r="AD12" s="44" t="n">
        <f aca="false">AC12+IF(OR(N12="Critical",N12="High"),30,91)</f>
        <v>46352</v>
      </c>
      <c r="AE12" s="27"/>
    </row>
    <row r="13" customFormat="false" ht="35.05" hidden="false" customHeight="false" outlineLevel="0" collapsed="false">
      <c r="A13" s="25" t="s">
        <v>67</v>
      </c>
      <c r="B13" s="27" t="s">
        <v>344</v>
      </c>
      <c r="C13" s="27" t="s">
        <v>161</v>
      </c>
      <c r="D13" s="27" t="s">
        <v>345</v>
      </c>
      <c r="E13" s="27" t="s">
        <v>346</v>
      </c>
      <c r="F13" s="27" t="s">
        <v>347</v>
      </c>
      <c r="G13" s="27" t="s">
        <v>348</v>
      </c>
      <c r="H13" s="19" t="s">
        <v>349</v>
      </c>
      <c r="I13" s="27" t="s">
        <v>60</v>
      </c>
      <c r="J13" s="27" t="s">
        <v>350</v>
      </c>
      <c r="K13" s="43" t="n">
        <v>5</v>
      </c>
      <c r="L13" s="43" t="n">
        <v>4</v>
      </c>
      <c r="M13" s="19" t="n">
        <f aca="false">K13*L13</f>
        <v>20</v>
      </c>
      <c r="N13" s="30" t="str">
        <f aca="false">IF(M13&gt;=20,"Critical",IF(M13&gt;=10,"High",IF(M13&gt;=5,"Medium","Low")))</f>
        <v>Critical</v>
      </c>
      <c r="O13" s="27" t="s">
        <v>351</v>
      </c>
      <c r="P13" s="43" t="s">
        <v>168</v>
      </c>
      <c r="Q13" s="27" t="s">
        <v>352</v>
      </c>
      <c r="R13" s="27" t="s">
        <v>353</v>
      </c>
      <c r="S13" s="27" t="s">
        <v>354</v>
      </c>
      <c r="T13" s="43" t="n">
        <v>2</v>
      </c>
      <c r="U13" s="43" t="n">
        <v>4</v>
      </c>
      <c r="V13" s="19" t="n">
        <f aca="false">T13*U13</f>
        <v>8</v>
      </c>
      <c r="W13" s="30" t="str">
        <f aca="false">IF(V13&gt;=20,"Critical",IF(V13&gt;=10,"High",IF(V13&gt;=5,"Medium","Low")))</f>
        <v>Medium</v>
      </c>
      <c r="X13" s="19" t="n">
        <f aca="false">INDEX(Methodology!$D$43:$D$46,MATCH(C13,Methodology!$A$43:$A$46,0))</f>
        <v>12</v>
      </c>
      <c r="Y13" s="30" t="str">
        <f aca="false">IF(M13&lt;=X13,"Yes","No")</f>
        <v>No</v>
      </c>
      <c r="Z13" s="30" t="str">
        <f aca="false">IF(V13&lt;=X13,"Yes","No")</f>
        <v>Yes</v>
      </c>
      <c r="AA13" s="44" t="n">
        <v>46738</v>
      </c>
      <c r="AB13" s="45" t="s">
        <v>231</v>
      </c>
      <c r="AC13" s="46" t="n">
        <v>46322</v>
      </c>
      <c r="AD13" s="44" t="n">
        <f aca="false">AC13+IF(OR(N13="Critical",N13="High"),30,91)</f>
        <v>46352</v>
      </c>
      <c r="AE13" s="27" t="s">
        <v>355</v>
      </c>
    </row>
    <row r="14" customFormat="false" ht="46.25" hidden="false" customHeight="false" outlineLevel="0" collapsed="false">
      <c r="A14" s="25" t="s">
        <v>356</v>
      </c>
      <c r="B14" s="27" t="s">
        <v>357</v>
      </c>
      <c r="C14" s="27" t="s">
        <v>159</v>
      </c>
      <c r="D14" s="27" t="s">
        <v>358</v>
      </c>
      <c r="E14" s="27" t="s">
        <v>359</v>
      </c>
      <c r="F14" s="27" t="s">
        <v>360</v>
      </c>
      <c r="G14" s="27" t="s">
        <v>361</v>
      </c>
      <c r="H14" s="19" t="s">
        <v>362</v>
      </c>
      <c r="I14" s="27" t="s">
        <v>60</v>
      </c>
      <c r="J14" s="27" t="s">
        <v>363</v>
      </c>
      <c r="K14" s="43" t="n">
        <v>3</v>
      </c>
      <c r="L14" s="43" t="n">
        <v>4</v>
      </c>
      <c r="M14" s="19" t="n">
        <f aca="false">K14*L14</f>
        <v>12</v>
      </c>
      <c r="N14" s="30" t="str">
        <f aca="false">IF(M14&gt;=20,"Critical",IF(M14&gt;=10,"High",IF(M14&gt;=5,"Medium","Low")))</f>
        <v>High</v>
      </c>
      <c r="O14" s="27" t="s">
        <v>364</v>
      </c>
      <c r="P14" s="43" t="s">
        <v>168</v>
      </c>
      <c r="Q14" s="27" t="s">
        <v>365</v>
      </c>
      <c r="R14" s="27" t="s">
        <v>366</v>
      </c>
      <c r="S14" s="27" t="s">
        <v>367</v>
      </c>
      <c r="T14" s="43" t="n">
        <v>2</v>
      </c>
      <c r="U14" s="43" t="n">
        <v>2</v>
      </c>
      <c r="V14" s="19" t="n">
        <f aca="false">T14*U14</f>
        <v>4</v>
      </c>
      <c r="W14" s="30" t="str">
        <f aca="false">IF(V14&gt;=20,"Critical",IF(V14&gt;=10,"High",IF(V14&gt;=5,"Medium","Low")))</f>
        <v>Low</v>
      </c>
      <c r="X14" s="19" t="n">
        <f aca="false">INDEX(Methodology!$D$43:$D$46,MATCH(C14,Methodology!$A$43:$A$46,0))</f>
        <v>9</v>
      </c>
      <c r="Y14" s="30" t="str">
        <f aca="false">IF(M14&lt;=X14,"Yes","No")</f>
        <v>No</v>
      </c>
      <c r="Z14" s="30" t="str">
        <f aca="false">IF(V14&lt;=X14,"Yes","No")</f>
        <v>Yes</v>
      </c>
      <c r="AA14" s="44" t="n">
        <v>46444</v>
      </c>
      <c r="AB14" s="45" t="s">
        <v>231</v>
      </c>
      <c r="AC14" s="46" t="n">
        <v>46322</v>
      </c>
      <c r="AD14" s="44" t="n">
        <f aca="false">AC14+IF(OR(N14="Critical",N14="High"),30,91)</f>
        <v>46352</v>
      </c>
      <c r="AE14" s="27"/>
    </row>
    <row r="15" customFormat="false" ht="46.25" hidden="false" customHeight="false" outlineLevel="0" collapsed="false">
      <c r="A15" s="25" t="s">
        <v>368</v>
      </c>
      <c r="B15" s="27" t="s">
        <v>369</v>
      </c>
      <c r="C15" s="27" t="s">
        <v>155</v>
      </c>
      <c r="D15" s="27" t="s">
        <v>370</v>
      </c>
      <c r="E15" s="27" t="s">
        <v>371</v>
      </c>
      <c r="F15" s="27" t="s">
        <v>372</v>
      </c>
      <c r="G15" s="27" t="s">
        <v>373</v>
      </c>
      <c r="H15" s="19" t="s">
        <v>225</v>
      </c>
      <c r="I15" s="27" t="s">
        <v>59</v>
      </c>
      <c r="J15" s="27" t="s">
        <v>374</v>
      </c>
      <c r="K15" s="43" t="n">
        <v>3</v>
      </c>
      <c r="L15" s="43" t="n">
        <v>5</v>
      </c>
      <c r="M15" s="19" t="n">
        <f aca="false">K15*L15</f>
        <v>15</v>
      </c>
      <c r="N15" s="30" t="str">
        <f aca="false">IF(M15&gt;=20,"Critical",IF(M15&gt;=10,"High",IF(M15&gt;=5,"Medium","Low")))</f>
        <v>High</v>
      </c>
      <c r="O15" s="27" t="s">
        <v>375</v>
      </c>
      <c r="P15" s="43" t="s">
        <v>168</v>
      </c>
      <c r="Q15" s="27" t="s">
        <v>376</v>
      </c>
      <c r="R15" s="27" t="s">
        <v>377</v>
      </c>
      <c r="S15" s="27" t="s">
        <v>378</v>
      </c>
      <c r="T15" s="43" t="n">
        <v>1</v>
      </c>
      <c r="U15" s="43" t="n">
        <v>5</v>
      </c>
      <c r="V15" s="19" t="n">
        <f aca="false">T15*U15</f>
        <v>5</v>
      </c>
      <c r="W15" s="30" t="str">
        <f aca="false">IF(V15&gt;=20,"Critical",IF(V15&gt;=10,"High",IF(V15&gt;=5,"Medium","Low")))</f>
        <v>Medium</v>
      </c>
      <c r="X15" s="19" t="n">
        <f aca="false">INDEX(Methodology!$D$43:$D$46,MATCH(C15,Methodology!$A$43:$A$46,0))</f>
        <v>6</v>
      </c>
      <c r="Y15" s="30" t="str">
        <f aca="false">IF(M15&lt;=X15,"Yes","No")</f>
        <v>No</v>
      </c>
      <c r="Z15" s="30" t="str">
        <f aca="false">IF(V15&lt;=X15,"Yes","No")</f>
        <v>Yes</v>
      </c>
      <c r="AA15" s="44" t="n">
        <v>46598</v>
      </c>
      <c r="AB15" s="45" t="s">
        <v>231</v>
      </c>
      <c r="AC15" s="46" t="n">
        <v>46322</v>
      </c>
      <c r="AD15" s="44" t="n">
        <f aca="false">AC15+IF(OR(N15="Critical",N15="High"),30,91)</f>
        <v>46352</v>
      </c>
      <c r="AE15" s="27"/>
    </row>
    <row r="16" customFormat="false" ht="46.25" hidden="false" customHeight="false" outlineLevel="0" collapsed="false">
      <c r="A16" s="25" t="s">
        <v>379</v>
      </c>
      <c r="B16" s="27" t="s">
        <v>380</v>
      </c>
      <c r="C16" s="27" t="s">
        <v>159</v>
      </c>
      <c r="D16" s="27" t="s">
        <v>381</v>
      </c>
      <c r="E16" s="27" t="s">
        <v>382</v>
      </c>
      <c r="F16" s="27" t="s">
        <v>383</v>
      </c>
      <c r="G16" s="27" t="s">
        <v>384</v>
      </c>
      <c r="H16" s="19" t="s">
        <v>249</v>
      </c>
      <c r="I16" s="27" t="s">
        <v>61</v>
      </c>
      <c r="J16" s="27" t="s">
        <v>385</v>
      </c>
      <c r="K16" s="43" t="n">
        <v>4</v>
      </c>
      <c r="L16" s="43" t="n">
        <v>3</v>
      </c>
      <c r="M16" s="19" t="n">
        <f aca="false">K16*L16</f>
        <v>12</v>
      </c>
      <c r="N16" s="30" t="str">
        <f aca="false">IF(M16&gt;=20,"Critical",IF(M16&gt;=10,"High",IF(M16&gt;=5,"Medium","Low")))</f>
        <v>High</v>
      </c>
      <c r="O16" s="27" t="s">
        <v>386</v>
      </c>
      <c r="P16" s="43" t="s">
        <v>168</v>
      </c>
      <c r="Q16" s="27" t="s">
        <v>387</v>
      </c>
      <c r="R16" s="27" t="s">
        <v>388</v>
      </c>
      <c r="S16" s="27" t="s">
        <v>389</v>
      </c>
      <c r="T16" s="43" t="n">
        <v>2</v>
      </c>
      <c r="U16" s="43" t="n">
        <v>3</v>
      </c>
      <c r="V16" s="19" t="n">
        <f aca="false">T16*U16</f>
        <v>6</v>
      </c>
      <c r="W16" s="30" t="str">
        <f aca="false">IF(V16&gt;=20,"Critical",IF(V16&gt;=10,"High",IF(V16&gt;=5,"Medium","Low")))</f>
        <v>Medium</v>
      </c>
      <c r="X16" s="19" t="n">
        <f aca="false">INDEX(Methodology!$D$43:$D$46,MATCH(C16,Methodology!$A$43:$A$46,0))</f>
        <v>9</v>
      </c>
      <c r="Y16" s="30" t="str">
        <f aca="false">IF(M16&lt;=X16,"Yes","No")</f>
        <v>No</v>
      </c>
      <c r="Z16" s="30" t="str">
        <f aca="false">IF(V16&lt;=X16,"Yes","No")</f>
        <v>Yes</v>
      </c>
      <c r="AA16" s="44" t="n">
        <v>46568</v>
      </c>
      <c r="AB16" s="45" t="s">
        <v>231</v>
      </c>
      <c r="AC16" s="46" t="n">
        <v>46322</v>
      </c>
      <c r="AD16" s="44" t="n">
        <f aca="false">AC16+IF(OR(N16="Critical",N16="High"),30,91)</f>
        <v>46352</v>
      </c>
      <c r="AE16" s="27"/>
    </row>
    <row r="17" customFormat="false" ht="35.05" hidden="false" customHeight="false" outlineLevel="0" collapsed="false">
      <c r="A17" s="25" t="s">
        <v>390</v>
      </c>
      <c r="B17" s="27" t="s">
        <v>391</v>
      </c>
      <c r="C17" s="27" t="s">
        <v>159</v>
      </c>
      <c r="D17" s="27" t="s">
        <v>392</v>
      </c>
      <c r="E17" s="27" t="s">
        <v>393</v>
      </c>
      <c r="F17" s="27" t="s">
        <v>394</v>
      </c>
      <c r="G17" s="27" t="s">
        <v>395</v>
      </c>
      <c r="H17" s="19" t="s">
        <v>284</v>
      </c>
      <c r="I17" s="27" t="s">
        <v>59</v>
      </c>
      <c r="J17" s="27" t="s">
        <v>396</v>
      </c>
      <c r="K17" s="43" t="n">
        <v>3</v>
      </c>
      <c r="L17" s="43" t="n">
        <v>1</v>
      </c>
      <c r="M17" s="19" t="n">
        <f aca="false">K17*L17</f>
        <v>3</v>
      </c>
      <c r="N17" s="30" t="str">
        <f aca="false">IF(M17&gt;=20,"Critical",IF(M17&gt;=10,"High",IF(M17&gt;=5,"Medium","Low")))</f>
        <v>Low</v>
      </c>
      <c r="O17" s="27" t="s">
        <v>397</v>
      </c>
      <c r="P17" s="43" t="s">
        <v>171</v>
      </c>
      <c r="Q17" s="27" t="s">
        <v>398</v>
      </c>
      <c r="R17" s="27" t="s">
        <v>399</v>
      </c>
      <c r="S17" s="27" t="s">
        <v>400</v>
      </c>
      <c r="T17" s="43" t="n">
        <v>3</v>
      </c>
      <c r="U17" s="43" t="n">
        <v>1</v>
      </c>
      <c r="V17" s="19" t="n">
        <f aca="false">T17*U17</f>
        <v>3</v>
      </c>
      <c r="W17" s="30" t="str">
        <f aca="false">IF(V17&gt;=20,"Critical",IF(V17&gt;=10,"High",IF(V17&gt;=5,"Medium","Low")))</f>
        <v>Low</v>
      </c>
      <c r="X17" s="19" t="n">
        <f aca="false">INDEX(Methodology!$D$43:$D$46,MATCH(C17,Methodology!$A$43:$A$46,0))</f>
        <v>9</v>
      </c>
      <c r="Y17" s="30" t="str">
        <f aca="false">IF(M17&lt;=X17,"Yes","No")</f>
        <v>Yes</v>
      </c>
      <c r="Z17" s="30" t="str">
        <f aca="false">IF(V17&lt;=X17,"Yes","No")</f>
        <v>Yes</v>
      </c>
      <c r="AA17" s="44" t="n">
        <v>46477</v>
      </c>
      <c r="AB17" s="45" t="s">
        <v>401</v>
      </c>
      <c r="AC17" s="46" t="n">
        <v>46322</v>
      </c>
      <c r="AD17" s="44" t="n">
        <f aca="false">AC17+IF(OR(N17="Critical",N17="High"),30,91)</f>
        <v>46413</v>
      </c>
      <c r="AE17" s="27" t="s">
        <v>402</v>
      </c>
    </row>
    <row r="18" customFormat="false" ht="35.05" hidden="false" customHeight="false" outlineLevel="0" collapsed="false">
      <c r="A18" s="25" t="s">
        <v>403</v>
      </c>
      <c r="B18" s="27" t="s">
        <v>404</v>
      </c>
      <c r="C18" s="27" t="s">
        <v>159</v>
      </c>
      <c r="D18" s="27" t="s">
        <v>405</v>
      </c>
      <c r="E18" s="27" t="s">
        <v>406</v>
      </c>
      <c r="F18" s="27" t="s">
        <v>407</v>
      </c>
      <c r="G18" s="27" t="s">
        <v>408</v>
      </c>
      <c r="H18" s="19" t="s">
        <v>225</v>
      </c>
      <c r="I18" s="27" t="s">
        <v>59</v>
      </c>
      <c r="J18" s="27" t="s">
        <v>409</v>
      </c>
      <c r="K18" s="43" t="n">
        <v>2</v>
      </c>
      <c r="L18" s="43" t="n">
        <v>3</v>
      </c>
      <c r="M18" s="19" t="n">
        <f aca="false">K18*L18</f>
        <v>6</v>
      </c>
      <c r="N18" s="30" t="str">
        <f aca="false">IF(M18&gt;=20,"Critical",IF(M18&gt;=10,"High",IF(M18&gt;=5,"Medium","Low")))</f>
        <v>Medium</v>
      </c>
      <c r="O18" s="27" t="s">
        <v>410</v>
      </c>
      <c r="P18" s="43" t="s">
        <v>177</v>
      </c>
      <c r="Q18" s="27" t="s">
        <v>411</v>
      </c>
      <c r="R18" s="27" t="s">
        <v>412</v>
      </c>
      <c r="S18" s="27" t="s">
        <v>413</v>
      </c>
      <c r="T18" s="43" t="n">
        <v>1</v>
      </c>
      <c r="U18" s="43" t="n">
        <v>1</v>
      </c>
      <c r="V18" s="19" t="n">
        <f aca="false">T18*U18</f>
        <v>1</v>
      </c>
      <c r="W18" s="30" t="str">
        <f aca="false">IF(V18&gt;=20,"Critical",IF(V18&gt;=10,"High",IF(V18&gt;=5,"Medium","Low")))</f>
        <v>Low</v>
      </c>
      <c r="X18" s="19" t="n">
        <f aca="false">INDEX(Methodology!$D$43:$D$46,MATCH(C18,Methodology!$A$43:$A$46,0))</f>
        <v>9</v>
      </c>
      <c r="Y18" s="30" t="str">
        <f aca="false">IF(M18&lt;=X18,"Yes","No")</f>
        <v>Yes</v>
      </c>
      <c r="Z18" s="30" t="str">
        <f aca="false">IF(V18&lt;=X18,"Yes","No")</f>
        <v>Yes</v>
      </c>
      <c r="AA18" s="44" t="n">
        <v>46626</v>
      </c>
      <c r="AB18" s="45" t="s">
        <v>231</v>
      </c>
      <c r="AC18" s="46" t="n">
        <v>46322</v>
      </c>
      <c r="AD18" s="44" t="n">
        <f aca="false">AC18+IF(OR(N18="Critical",N18="High"),30,91)</f>
        <v>46413</v>
      </c>
      <c r="AE18" s="27" t="s">
        <v>414</v>
      </c>
    </row>
    <row r="19" customFormat="false" ht="46.25" hidden="false" customHeight="false" outlineLevel="0" collapsed="false">
      <c r="A19" s="25" t="s">
        <v>415</v>
      </c>
      <c r="B19" s="27" t="s">
        <v>416</v>
      </c>
      <c r="C19" s="27" t="s">
        <v>159</v>
      </c>
      <c r="D19" s="27" t="s">
        <v>417</v>
      </c>
      <c r="E19" s="27" t="s">
        <v>418</v>
      </c>
      <c r="F19" s="27" t="s">
        <v>419</v>
      </c>
      <c r="G19" s="27" t="s">
        <v>420</v>
      </c>
      <c r="H19" s="19" t="s">
        <v>362</v>
      </c>
      <c r="I19" s="27" t="s">
        <v>61</v>
      </c>
      <c r="J19" s="27" t="s">
        <v>421</v>
      </c>
      <c r="K19" s="43" t="n">
        <v>2</v>
      </c>
      <c r="L19" s="43" t="n">
        <v>4</v>
      </c>
      <c r="M19" s="19" t="n">
        <f aca="false">K19*L19</f>
        <v>8</v>
      </c>
      <c r="N19" s="30" t="str">
        <f aca="false">IF(M19&gt;=20,"Critical",IF(M19&gt;=10,"High",IF(M19&gt;=5,"Medium","Low")))</f>
        <v>Medium</v>
      </c>
      <c r="O19" s="27" t="s">
        <v>422</v>
      </c>
      <c r="P19" s="43" t="s">
        <v>168</v>
      </c>
      <c r="Q19" s="27" t="s">
        <v>423</v>
      </c>
      <c r="R19" s="27" t="s">
        <v>424</v>
      </c>
      <c r="S19" s="27" t="s">
        <v>425</v>
      </c>
      <c r="T19" s="43" t="n">
        <v>2</v>
      </c>
      <c r="U19" s="43" t="n">
        <v>2</v>
      </c>
      <c r="V19" s="19" t="n">
        <f aca="false">T19*U19</f>
        <v>4</v>
      </c>
      <c r="W19" s="30" t="str">
        <f aca="false">IF(V19&gt;=20,"Critical",IF(V19&gt;=10,"High",IF(V19&gt;=5,"Medium","Low")))</f>
        <v>Low</v>
      </c>
      <c r="X19" s="19" t="n">
        <f aca="false">INDEX(Methodology!$D$43:$D$46,MATCH(C19,Methodology!$A$43:$A$46,0))</f>
        <v>9</v>
      </c>
      <c r="Y19" s="30" t="str">
        <f aca="false">IF(M19&lt;=X19,"Yes","No")</f>
        <v>Yes</v>
      </c>
      <c r="Z19" s="30" t="str">
        <f aca="false">IF(V19&lt;=X19,"Yes","No")</f>
        <v>Yes</v>
      </c>
      <c r="AA19" s="44" t="n">
        <v>46568</v>
      </c>
      <c r="AB19" s="45" t="s">
        <v>231</v>
      </c>
      <c r="AC19" s="46" t="n">
        <v>46322</v>
      </c>
      <c r="AD19" s="44" t="n">
        <f aca="false">AC19+IF(OR(N19="Critical",N19="High"),30,91)</f>
        <v>46413</v>
      </c>
      <c r="AE19" s="27"/>
    </row>
    <row r="20" customFormat="false" ht="35.05" hidden="false" customHeight="false" outlineLevel="0" collapsed="false">
      <c r="A20" s="25" t="s">
        <v>426</v>
      </c>
      <c r="B20" s="27" t="s">
        <v>427</v>
      </c>
      <c r="C20" s="27" t="s">
        <v>159</v>
      </c>
      <c r="D20" s="27" t="s">
        <v>428</v>
      </c>
      <c r="E20" s="27" t="s">
        <v>429</v>
      </c>
      <c r="F20" s="27" t="s">
        <v>430</v>
      </c>
      <c r="G20" s="27" t="s">
        <v>431</v>
      </c>
      <c r="H20" s="19" t="s">
        <v>249</v>
      </c>
      <c r="I20" s="27" t="s">
        <v>59</v>
      </c>
      <c r="J20" s="27" t="s">
        <v>432</v>
      </c>
      <c r="K20" s="43" t="n">
        <v>3</v>
      </c>
      <c r="L20" s="43" t="n">
        <v>3</v>
      </c>
      <c r="M20" s="19" t="n">
        <f aca="false">K20*L20</f>
        <v>9</v>
      </c>
      <c r="N20" s="30" t="str">
        <f aca="false">IF(M20&gt;=20,"Critical",IF(M20&gt;=10,"High",IF(M20&gt;=5,"Medium","Low")))</f>
        <v>Medium</v>
      </c>
      <c r="O20" s="27" t="s">
        <v>433</v>
      </c>
      <c r="P20" s="43" t="s">
        <v>168</v>
      </c>
      <c r="Q20" s="27" t="s">
        <v>434</v>
      </c>
      <c r="R20" s="27" t="s">
        <v>435</v>
      </c>
      <c r="S20" s="27" t="s">
        <v>436</v>
      </c>
      <c r="T20" s="43" t="n">
        <v>1</v>
      </c>
      <c r="U20" s="43" t="n">
        <v>2</v>
      </c>
      <c r="V20" s="19" t="n">
        <f aca="false">T20*U20</f>
        <v>2</v>
      </c>
      <c r="W20" s="30" t="str">
        <f aca="false">IF(V20&gt;=20,"Critical",IF(V20&gt;=10,"High",IF(V20&gt;=5,"Medium","Low")))</f>
        <v>Low</v>
      </c>
      <c r="X20" s="19" t="n">
        <f aca="false">INDEX(Methodology!$D$43:$D$46,MATCH(C20,Methodology!$A$43:$A$46,0))</f>
        <v>9</v>
      </c>
      <c r="Y20" s="30" t="str">
        <f aca="false">IF(M20&lt;=X20,"Yes","No")</f>
        <v>Yes</v>
      </c>
      <c r="Z20" s="30" t="str">
        <f aca="false">IF(V20&lt;=X20,"Yes","No")</f>
        <v>Yes</v>
      </c>
      <c r="AA20" s="44" t="n">
        <v>46535</v>
      </c>
      <c r="AB20" s="45" t="s">
        <v>231</v>
      </c>
      <c r="AC20" s="46" t="n">
        <v>46322</v>
      </c>
      <c r="AD20" s="44" t="n">
        <f aca="false">AC20+IF(OR(N20="Critical",N20="High"),30,91)</f>
        <v>46413</v>
      </c>
      <c r="AE20" s="27"/>
    </row>
    <row r="21" customFormat="false" ht="46.25" hidden="false" customHeight="false" outlineLevel="0" collapsed="false">
      <c r="A21" s="25" t="s">
        <v>437</v>
      </c>
      <c r="B21" s="27" t="s">
        <v>438</v>
      </c>
      <c r="C21" s="27" t="s">
        <v>155</v>
      </c>
      <c r="D21" s="27" t="s">
        <v>439</v>
      </c>
      <c r="E21" s="27" t="s">
        <v>440</v>
      </c>
      <c r="F21" s="27" t="s">
        <v>441</v>
      </c>
      <c r="G21" s="27" t="s">
        <v>442</v>
      </c>
      <c r="H21" s="19" t="s">
        <v>284</v>
      </c>
      <c r="I21" s="27" t="s">
        <v>61</v>
      </c>
      <c r="J21" s="27" t="s">
        <v>443</v>
      </c>
      <c r="K21" s="43" t="n">
        <v>2</v>
      </c>
      <c r="L21" s="43" t="n">
        <v>5</v>
      </c>
      <c r="M21" s="19" t="n">
        <f aca="false">K21*L21</f>
        <v>10</v>
      </c>
      <c r="N21" s="30" t="str">
        <f aca="false">IF(M21&gt;=20,"Critical",IF(M21&gt;=10,"High",IF(M21&gt;=5,"Medium","Low")))</f>
        <v>High</v>
      </c>
      <c r="O21" s="27" t="s">
        <v>444</v>
      </c>
      <c r="P21" s="43" t="s">
        <v>168</v>
      </c>
      <c r="Q21" s="27" t="s">
        <v>445</v>
      </c>
      <c r="R21" s="27" t="s">
        <v>446</v>
      </c>
      <c r="S21" s="27" t="s">
        <v>447</v>
      </c>
      <c r="T21" s="43" t="n">
        <v>1</v>
      </c>
      <c r="U21" s="43" t="n">
        <v>5</v>
      </c>
      <c r="V21" s="19" t="n">
        <f aca="false">T21*U21</f>
        <v>5</v>
      </c>
      <c r="W21" s="30" t="str">
        <f aca="false">IF(V21&gt;=20,"Critical",IF(V21&gt;=10,"High",IF(V21&gt;=5,"Medium","Low")))</f>
        <v>Medium</v>
      </c>
      <c r="X21" s="19" t="n">
        <f aca="false">INDEX(Methodology!$D$43:$D$46,MATCH(C21,Methodology!$A$43:$A$46,0))</f>
        <v>6</v>
      </c>
      <c r="Y21" s="30" t="str">
        <f aca="false">IF(M21&lt;=X21,"Yes","No")</f>
        <v>No</v>
      </c>
      <c r="Z21" s="30" t="str">
        <f aca="false">IF(V21&lt;=X21,"Yes","No")</f>
        <v>Yes</v>
      </c>
      <c r="AA21" s="44" t="n">
        <v>46660</v>
      </c>
      <c r="AB21" s="45" t="s">
        <v>231</v>
      </c>
      <c r="AC21" s="46" t="n">
        <v>46322</v>
      </c>
      <c r="AD21" s="44" t="n">
        <f aca="false">AC21+IF(OR(N21="Critical",N21="High"),30,91)</f>
        <v>46352</v>
      </c>
      <c r="AE21" s="27"/>
    </row>
    <row r="22" customFormat="false" ht="46.25" hidden="false" customHeight="false" outlineLevel="0" collapsed="false">
      <c r="A22" s="25" t="s">
        <v>448</v>
      </c>
      <c r="B22" s="27" t="s">
        <v>449</v>
      </c>
      <c r="C22" s="27" t="s">
        <v>157</v>
      </c>
      <c r="D22" s="27" t="s">
        <v>450</v>
      </c>
      <c r="E22" s="27" t="s">
        <v>451</v>
      </c>
      <c r="F22" s="27" t="s">
        <v>452</v>
      </c>
      <c r="G22" s="27" t="s">
        <v>453</v>
      </c>
      <c r="H22" s="19" t="s">
        <v>349</v>
      </c>
      <c r="I22" s="27" t="s">
        <v>60</v>
      </c>
      <c r="J22" s="27" t="s">
        <v>454</v>
      </c>
      <c r="K22" s="43" t="n">
        <v>3</v>
      </c>
      <c r="L22" s="43" t="n">
        <v>4</v>
      </c>
      <c r="M22" s="19" t="n">
        <f aca="false">K22*L22</f>
        <v>12</v>
      </c>
      <c r="N22" s="30" t="str">
        <f aca="false">IF(M22&gt;=20,"Critical",IF(M22&gt;=10,"High",IF(M22&gt;=5,"Medium","Low")))</f>
        <v>High</v>
      </c>
      <c r="O22" s="27" t="s">
        <v>455</v>
      </c>
      <c r="P22" s="43" t="s">
        <v>168</v>
      </c>
      <c r="Q22" s="27" t="s">
        <v>456</v>
      </c>
      <c r="R22" s="27" t="s">
        <v>457</v>
      </c>
      <c r="S22" s="27" t="s">
        <v>458</v>
      </c>
      <c r="T22" s="43" t="n">
        <v>2</v>
      </c>
      <c r="U22" s="43" t="n">
        <v>3</v>
      </c>
      <c r="V22" s="19" t="n">
        <f aca="false">T22*U22</f>
        <v>6</v>
      </c>
      <c r="W22" s="30" t="str">
        <f aca="false">IF(V22&gt;=20,"Critical",IF(V22&gt;=10,"High",IF(V22&gt;=5,"Medium","Low")))</f>
        <v>Medium</v>
      </c>
      <c r="X22" s="19" t="n">
        <f aca="false">INDEX(Methodology!$D$43:$D$46,MATCH(C22,Methodology!$A$43:$A$46,0))</f>
        <v>6</v>
      </c>
      <c r="Y22" s="30" t="str">
        <f aca="false">IF(M22&lt;=X22,"Yes","No")</f>
        <v>No</v>
      </c>
      <c r="Z22" s="30" t="str">
        <f aca="false">IF(V22&lt;=X22,"Yes","No")</f>
        <v>Yes</v>
      </c>
      <c r="AA22" s="44" t="n">
        <v>46568</v>
      </c>
      <c r="AB22" s="45" t="s">
        <v>231</v>
      </c>
      <c r="AC22" s="46" t="n">
        <v>46322</v>
      </c>
      <c r="AD22" s="44" t="n">
        <f aca="false">AC22+IF(OR(N22="Critical",N22="High"),30,91)</f>
        <v>46352</v>
      </c>
      <c r="AE22" s="27" t="s">
        <v>459</v>
      </c>
    </row>
  </sheetData>
  <autoFilter ref="A1:AE22"/>
  <conditionalFormatting sqref="N2:N22">
    <cfRule type="expression" priority="2" aboveAverage="0" equalAverage="0" bottom="0" percent="0" rank="0" text="" dxfId="0">
      <formula>N2="Critical"</formula>
    </cfRule>
    <cfRule type="expression" priority="3" aboveAverage="0" equalAverage="0" bottom="0" percent="0" rank="0" text="" dxfId="1">
      <formula>N2="High"</formula>
    </cfRule>
    <cfRule type="expression" priority="4" aboveAverage="0" equalAverage="0" bottom="0" percent="0" rank="0" text="" dxfId="2">
      <formula>N2="Medium"</formula>
    </cfRule>
    <cfRule type="expression" priority="5" aboveAverage="0" equalAverage="0" bottom="0" percent="0" rank="0" text="" dxfId="3">
      <formula>N2="Low"</formula>
    </cfRule>
  </conditionalFormatting>
  <conditionalFormatting sqref="W2:W22">
    <cfRule type="expression" priority="6" aboveAverage="0" equalAverage="0" bottom="0" percent="0" rank="0" text="" dxfId="0">
      <formula>W2="Critical"</formula>
    </cfRule>
    <cfRule type="expression" priority="7" aboveAverage="0" equalAverage="0" bottom="0" percent="0" rank="0" text="" dxfId="1">
      <formula>W2="High"</formula>
    </cfRule>
    <cfRule type="expression" priority="8" aboveAverage="0" equalAverage="0" bottom="0" percent="0" rank="0" text="" dxfId="2">
      <formula>W2="Medium"</formula>
    </cfRule>
    <cfRule type="expression" priority="9" aboveAverage="0" equalAverage="0" bottom="0" percent="0" rank="0" text="" dxfId="3">
      <formula>W2="Low"</formula>
    </cfRule>
  </conditionalFormatting>
  <conditionalFormatting sqref="Y2:Y22">
    <cfRule type="expression" priority="10" aboveAverage="0" equalAverage="0" bottom="0" percent="0" rank="0" text="" dxfId="14">
      <formula>Y2="No"</formula>
    </cfRule>
    <cfRule type="expression" priority="11" aboveAverage="0" equalAverage="0" bottom="0" percent="0" rank="0" text="" dxfId="15">
      <formula>Y2="Yes"</formula>
    </cfRule>
  </conditionalFormatting>
  <conditionalFormatting sqref="Z2:Z22">
    <cfRule type="expression" priority="12" aboveAverage="0" equalAverage="0" bottom="0" percent="0" rank="0" text="" dxfId="14">
      <formula>Z2="No"</formula>
    </cfRule>
    <cfRule type="expression" priority="13" aboveAverage="0" equalAverage="0" bottom="0" percent="0" rank="0" text="" dxfId="15">
      <formula>Z2="Yes"</formula>
    </cfRule>
  </conditionalFormatting>
  <dataValidations count="4">
    <dataValidation allowBlank="false" error="Enter a whole number from 1 to 5" errorStyle="stop" operator="between" showDropDown="false" showErrorMessage="true" showInputMessage="false" sqref="K2:L200 T2:U200" type="whole">
      <formula1>1</formula1>
      <formula2>5</formula2>
    </dataValidation>
    <dataValidation allowBlank="true" errorStyle="stop" operator="between" showDropDown="false" showErrorMessage="false" showInputMessage="false" sqref="P2:P200" type="list">
      <formula1>"Treat,Tolerate,Transfer,Terminate"</formula1>
      <formula2>0</formula2>
    </dataValidation>
    <dataValidation allowBlank="true" errorStyle="stop" operator="between" showDropDown="false" showErrorMessage="false" showInputMessage="false" sqref="AB2:AB200" type="list">
      <formula1>"Open: treatment planned,Open: treatment in progress,Accepted,Closed"</formula1>
      <formula2>0</formula2>
    </dataValidation>
    <dataValidation allowBlank="true" errorStyle="stop" operator="between" showDropDown="false" showErrorMessage="false" showInputMessage="false" sqref="C2:C200" type="list">
      <formula1>"Client Trust &amp; Privileged Access,Regulatory &amp; Legal,Operational Resilience,Strategic &amp; Commercial"</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I4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60"/>
    <col collapsed="false" customWidth="true" hidden="false" outlineLevel="0" max="4" min="4" style="0" width="22"/>
    <col collapsed="false" customWidth="true" hidden="false" outlineLevel="0" max="5" min="5" style="0" width="12"/>
    <col collapsed="false" customWidth="true" hidden="false" outlineLevel="0" max="7" min="6" style="0" width="13"/>
    <col collapsed="false" customWidth="true" hidden="false" outlineLevel="0" max="8" min="8" style="0" width="16"/>
    <col collapsed="false" customWidth="true" hidden="false" outlineLevel="0" max="9" min="9" style="0" width="45"/>
  </cols>
  <sheetData>
    <row r="1" customFormat="false" ht="30" hidden="false" customHeight="true" outlineLevel="0" collapsed="false">
      <c r="A1" s="42" t="s">
        <v>460</v>
      </c>
      <c r="B1" s="42" t="s">
        <v>461</v>
      </c>
      <c r="C1" s="42" t="s">
        <v>462</v>
      </c>
      <c r="D1" s="42" t="s">
        <v>55</v>
      </c>
      <c r="E1" s="42" t="s">
        <v>463</v>
      </c>
      <c r="F1" s="42" t="s">
        <v>215</v>
      </c>
      <c r="G1" s="42" t="s">
        <v>216</v>
      </c>
      <c r="H1" s="42" t="s">
        <v>464</v>
      </c>
      <c r="I1" s="42" t="s">
        <v>465</v>
      </c>
    </row>
    <row r="2" customFormat="false" ht="23.85" hidden="false" customHeight="false" outlineLevel="0" collapsed="false">
      <c r="A2" s="25" t="s">
        <v>466</v>
      </c>
      <c r="B2" s="27" t="s">
        <v>66</v>
      </c>
      <c r="C2" s="27" t="s">
        <v>467</v>
      </c>
      <c r="D2" s="27" t="s">
        <v>62</v>
      </c>
      <c r="E2" s="19" t="n">
        <v>0</v>
      </c>
      <c r="F2" s="44" t="n">
        <v>46332</v>
      </c>
      <c r="G2" s="43" t="s">
        <v>468</v>
      </c>
      <c r="H2" s="27" t="s">
        <v>469</v>
      </c>
      <c r="I2" s="27" t="s">
        <v>470</v>
      </c>
    </row>
    <row r="3" customFormat="false" ht="15" hidden="false" customHeight="false" outlineLevel="0" collapsed="false">
      <c r="A3" s="25" t="s">
        <v>471</v>
      </c>
      <c r="B3" s="27" t="s">
        <v>472</v>
      </c>
      <c r="C3" s="27" t="s">
        <v>473</v>
      </c>
      <c r="D3" s="27" t="s">
        <v>62</v>
      </c>
      <c r="E3" s="19" t="n">
        <v>0</v>
      </c>
      <c r="F3" s="44" t="n">
        <v>46332</v>
      </c>
      <c r="G3" s="43" t="s">
        <v>468</v>
      </c>
      <c r="H3" s="27" t="s">
        <v>469</v>
      </c>
      <c r="I3" s="27" t="s">
        <v>474</v>
      </c>
    </row>
    <row r="4" customFormat="false" ht="23.85" hidden="false" customHeight="false" outlineLevel="0" collapsed="false">
      <c r="A4" s="25" t="s">
        <v>475</v>
      </c>
      <c r="B4" s="27" t="s">
        <v>68</v>
      </c>
      <c r="C4" s="27" t="s">
        <v>476</v>
      </c>
      <c r="D4" s="27" t="s">
        <v>62</v>
      </c>
      <c r="E4" s="19" t="n">
        <v>0</v>
      </c>
      <c r="F4" s="44" t="n">
        <v>46339</v>
      </c>
      <c r="G4" s="43" t="s">
        <v>468</v>
      </c>
      <c r="H4" s="27" t="s">
        <v>477</v>
      </c>
      <c r="I4" s="27" t="s">
        <v>478</v>
      </c>
    </row>
    <row r="5" customFormat="false" ht="15" hidden="false" customHeight="false" outlineLevel="0" collapsed="false">
      <c r="A5" s="25" t="s">
        <v>479</v>
      </c>
      <c r="B5" s="27" t="s">
        <v>480</v>
      </c>
      <c r="C5" s="27" t="s">
        <v>481</v>
      </c>
      <c r="D5" s="27" t="s">
        <v>59</v>
      </c>
      <c r="E5" s="19" t="n">
        <v>0</v>
      </c>
      <c r="F5" s="44" t="n">
        <v>46339</v>
      </c>
      <c r="G5" s="43" t="s">
        <v>468</v>
      </c>
      <c r="H5" s="27" t="s">
        <v>254</v>
      </c>
      <c r="I5" s="27" t="s">
        <v>482</v>
      </c>
    </row>
    <row r="6" customFormat="false" ht="15" hidden="false" customHeight="false" outlineLevel="0" collapsed="false">
      <c r="A6" s="25" t="s">
        <v>483</v>
      </c>
      <c r="B6" s="27" t="s">
        <v>426</v>
      </c>
      <c r="C6" s="27" t="s">
        <v>484</v>
      </c>
      <c r="D6" s="27" t="s">
        <v>59</v>
      </c>
      <c r="E6" s="19" t="n">
        <v>0</v>
      </c>
      <c r="F6" s="44" t="n">
        <v>46332</v>
      </c>
      <c r="G6" s="43" t="s">
        <v>468</v>
      </c>
      <c r="H6" s="27" t="s">
        <v>436</v>
      </c>
      <c r="I6" s="27" t="s">
        <v>485</v>
      </c>
    </row>
    <row r="7" customFormat="false" ht="15" hidden="false" customHeight="false" outlineLevel="0" collapsed="false">
      <c r="A7" s="25" t="s">
        <v>486</v>
      </c>
      <c r="B7" s="27" t="s">
        <v>487</v>
      </c>
      <c r="C7" s="27" t="s">
        <v>488</v>
      </c>
      <c r="D7" s="27" t="s">
        <v>60</v>
      </c>
      <c r="E7" s="19" t="n">
        <v>1</v>
      </c>
      <c r="F7" s="44" t="n">
        <v>46374</v>
      </c>
      <c r="G7" s="43" t="s">
        <v>468</v>
      </c>
      <c r="H7" s="27" t="s">
        <v>367</v>
      </c>
      <c r="I7" s="27" t="s">
        <v>489</v>
      </c>
    </row>
    <row r="8" customFormat="false" ht="23.85" hidden="false" customHeight="false" outlineLevel="0" collapsed="false">
      <c r="A8" s="25" t="s">
        <v>490</v>
      </c>
      <c r="B8" s="27" t="s">
        <v>67</v>
      </c>
      <c r="C8" s="27" t="s">
        <v>491</v>
      </c>
      <c r="D8" s="27" t="s">
        <v>60</v>
      </c>
      <c r="E8" s="19" t="n">
        <v>1</v>
      </c>
      <c r="F8" s="44" t="n">
        <v>46416</v>
      </c>
      <c r="G8" s="43" t="s">
        <v>468</v>
      </c>
      <c r="H8" s="27" t="s">
        <v>492</v>
      </c>
      <c r="I8" s="27" t="s">
        <v>493</v>
      </c>
    </row>
    <row r="9" customFormat="false" ht="23.85" hidden="false" customHeight="false" outlineLevel="0" collapsed="false">
      <c r="A9" s="25" t="s">
        <v>494</v>
      </c>
      <c r="B9" s="27" t="s">
        <v>67</v>
      </c>
      <c r="C9" s="27" t="s">
        <v>495</v>
      </c>
      <c r="D9" s="27" t="s">
        <v>496</v>
      </c>
      <c r="E9" s="19" t="n">
        <v>1</v>
      </c>
      <c r="F9" s="44" t="n">
        <v>46444</v>
      </c>
      <c r="G9" s="43" t="s">
        <v>468</v>
      </c>
      <c r="H9" s="27" t="s">
        <v>497</v>
      </c>
      <c r="I9" s="27" t="s">
        <v>498</v>
      </c>
    </row>
    <row r="10" customFormat="false" ht="23.85" hidden="false" customHeight="false" outlineLevel="0" collapsed="false">
      <c r="A10" s="25" t="s">
        <v>499</v>
      </c>
      <c r="B10" s="27" t="s">
        <v>68</v>
      </c>
      <c r="C10" s="27" t="s">
        <v>500</v>
      </c>
      <c r="D10" s="27" t="s">
        <v>61</v>
      </c>
      <c r="E10" s="19" t="n">
        <v>1</v>
      </c>
      <c r="F10" s="44" t="n">
        <v>46402</v>
      </c>
      <c r="G10" s="43" t="s">
        <v>468</v>
      </c>
      <c r="H10" s="27" t="s">
        <v>477</v>
      </c>
      <c r="I10" s="27" t="s">
        <v>501</v>
      </c>
    </row>
    <row r="11" customFormat="false" ht="23.85" hidden="false" customHeight="false" outlineLevel="0" collapsed="false">
      <c r="A11" s="25" t="s">
        <v>502</v>
      </c>
      <c r="B11" s="27" t="s">
        <v>368</v>
      </c>
      <c r="C11" s="27" t="s">
        <v>503</v>
      </c>
      <c r="D11" s="27" t="s">
        <v>59</v>
      </c>
      <c r="E11" s="19" t="n">
        <v>1</v>
      </c>
      <c r="F11" s="44" t="n">
        <v>46374</v>
      </c>
      <c r="G11" s="43" t="s">
        <v>468</v>
      </c>
      <c r="H11" s="27" t="s">
        <v>504</v>
      </c>
      <c r="I11" s="27" t="s">
        <v>505</v>
      </c>
    </row>
    <row r="12" customFormat="false" ht="23.85" hidden="false" customHeight="false" outlineLevel="0" collapsed="false">
      <c r="A12" s="25" t="s">
        <v>506</v>
      </c>
      <c r="B12" s="27" t="s">
        <v>379</v>
      </c>
      <c r="C12" s="27" t="s">
        <v>507</v>
      </c>
      <c r="D12" s="27" t="s">
        <v>61</v>
      </c>
      <c r="E12" s="19" t="n">
        <v>1</v>
      </c>
      <c r="F12" s="44" t="n">
        <v>46416</v>
      </c>
      <c r="G12" s="43" t="s">
        <v>468</v>
      </c>
      <c r="H12" s="27" t="s">
        <v>508</v>
      </c>
      <c r="I12" s="27" t="s">
        <v>509</v>
      </c>
    </row>
    <row r="13" customFormat="false" ht="23.85" hidden="false" customHeight="false" outlineLevel="0" collapsed="false">
      <c r="A13" s="25" t="s">
        <v>510</v>
      </c>
      <c r="B13" s="27" t="s">
        <v>313</v>
      </c>
      <c r="C13" s="27" t="s">
        <v>511</v>
      </c>
      <c r="D13" s="27" t="s">
        <v>59</v>
      </c>
      <c r="E13" s="19" t="n">
        <v>1</v>
      </c>
      <c r="F13" s="44" t="n">
        <v>46416</v>
      </c>
      <c r="G13" s="43" t="s">
        <v>468</v>
      </c>
      <c r="H13" s="27" t="s">
        <v>512</v>
      </c>
      <c r="I13" s="27" t="s">
        <v>513</v>
      </c>
    </row>
    <row r="14" customFormat="false" ht="15" hidden="false" customHeight="false" outlineLevel="0" collapsed="false">
      <c r="A14" s="25" t="s">
        <v>514</v>
      </c>
      <c r="B14" s="27" t="s">
        <v>515</v>
      </c>
      <c r="C14" s="27" t="s">
        <v>516</v>
      </c>
      <c r="D14" s="27" t="s">
        <v>62</v>
      </c>
      <c r="E14" s="19" t="n">
        <v>2</v>
      </c>
      <c r="F14" s="44" t="n">
        <v>46477</v>
      </c>
      <c r="G14" s="43" t="s">
        <v>468</v>
      </c>
      <c r="H14" s="27" t="s">
        <v>254</v>
      </c>
      <c r="I14" s="27" t="s">
        <v>517</v>
      </c>
    </row>
    <row r="15" customFormat="false" ht="15" hidden="false" customHeight="false" outlineLevel="0" collapsed="false">
      <c r="A15" s="25" t="s">
        <v>518</v>
      </c>
      <c r="B15" s="27" t="s">
        <v>72</v>
      </c>
      <c r="C15" s="27" t="s">
        <v>519</v>
      </c>
      <c r="D15" s="27" t="s">
        <v>62</v>
      </c>
      <c r="E15" s="19" t="n">
        <v>2</v>
      </c>
      <c r="F15" s="44" t="n">
        <v>46477</v>
      </c>
      <c r="G15" s="43" t="s">
        <v>468</v>
      </c>
      <c r="H15" s="27" t="s">
        <v>254</v>
      </c>
      <c r="I15" s="27" t="s">
        <v>520</v>
      </c>
    </row>
    <row r="16" customFormat="false" ht="23.85" hidden="false" customHeight="false" outlineLevel="0" collapsed="false">
      <c r="A16" s="25" t="s">
        <v>521</v>
      </c>
      <c r="B16" s="27" t="s">
        <v>72</v>
      </c>
      <c r="C16" s="27" t="s">
        <v>522</v>
      </c>
      <c r="D16" s="27" t="s">
        <v>59</v>
      </c>
      <c r="E16" s="19" t="n">
        <v>2</v>
      </c>
      <c r="F16" s="44" t="n">
        <v>46535</v>
      </c>
      <c r="G16" s="43" t="s">
        <v>468</v>
      </c>
      <c r="H16" s="27" t="s">
        <v>254</v>
      </c>
      <c r="I16" s="27" t="s">
        <v>523</v>
      </c>
    </row>
    <row r="17" customFormat="false" ht="23.85" hidden="false" customHeight="false" outlineLevel="0" collapsed="false">
      <c r="A17" s="25" t="s">
        <v>524</v>
      </c>
      <c r="B17" s="27" t="s">
        <v>72</v>
      </c>
      <c r="C17" s="27" t="s">
        <v>525</v>
      </c>
      <c r="D17" s="27" t="s">
        <v>62</v>
      </c>
      <c r="E17" s="19" t="n">
        <v>2</v>
      </c>
      <c r="F17" s="44" t="n">
        <v>46507</v>
      </c>
      <c r="G17" s="43" t="s">
        <v>468</v>
      </c>
      <c r="H17" s="27" t="s">
        <v>254</v>
      </c>
      <c r="I17" s="27" t="s">
        <v>526</v>
      </c>
    </row>
    <row r="18" customFormat="false" ht="23.85" hidden="false" customHeight="false" outlineLevel="0" collapsed="false">
      <c r="A18" s="25" t="s">
        <v>527</v>
      </c>
      <c r="B18" s="27" t="s">
        <v>69</v>
      </c>
      <c r="C18" s="27" t="s">
        <v>528</v>
      </c>
      <c r="D18" s="27" t="s">
        <v>59</v>
      </c>
      <c r="E18" s="19" t="n">
        <v>2</v>
      </c>
      <c r="F18" s="44" t="n">
        <v>46477</v>
      </c>
      <c r="G18" s="43" t="s">
        <v>468</v>
      </c>
      <c r="H18" s="27" t="s">
        <v>529</v>
      </c>
      <c r="I18" s="27" t="s">
        <v>530</v>
      </c>
    </row>
    <row r="19" customFormat="false" ht="23.85" hidden="false" customHeight="false" outlineLevel="0" collapsed="false">
      <c r="A19" s="25" t="s">
        <v>531</v>
      </c>
      <c r="B19" s="27" t="s">
        <v>69</v>
      </c>
      <c r="C19" s="27" t="s">
        <v>532</v>
      </c>
      <c r="D19" s="27" t="s">
        <v>59</v>
      </c>
      <c r="E19" s="19" t="n">
        <v>2</v>
      </c>
      <c r="F19" s="44" t="n">
        <v>46507</v>
      </c>
      <c r="G19" s="43" t="s">
        <v>468</v>
      </c>
      <c r="H19" s="27" t="s">
        <v>533</v>
      </c>
      <c r="I19" s="27" t="s">
        <v>534</v>
      </c>
    </row>
    <row r="20" customFormat="false" ht="23.85" hidden="false" customHeight="false" outlineLevel="0" collapsed="false">
      <c r="A20" s="25" t="s">
        <v>535</v>
      </c>
      <c r="B20" s="27" t="s">
        <v>536</v>
      </c>
      <c r="C20" s="27" t="s">
        <v>537</v>
      </c>
      <c r="D20" s="27" t="s">
        <v>59</v>
      </c>
      <c r="E20" s="19" t="n">
        <v>2</v>
      </c>
      <c r="F20" s="44" t="n">
        <v>46535</v>
      </c>
      <c r="G20" s="43" t="s">
        <v>468</v>
      </c>
      <c r="H20" s="27" t="s">
        <v>436</v>
      </c>
      <c r="I20" s="27" t="s">
        <v>538</v>
      </c>
    </row>
    <row r="21" customFormat="false" ht="23.85" hidden="false" customHeight="false" outlineLevel="0" collapsed="false">
      <c r="A21" s="25" t="s">
        <v>539</v>
      </c>
      <c r="B21" s="27" t="s">
        <v>267</v>
      </c>
      <c r="C21" s="27" t="s">
        <v>540</v>
      </c>
      <c r="D21" s="27" t="s">
        <v>59</v>
      </c>
      <c r="E21" s="19" t="n">
        <v>2</v>
      </c>
      <c r="F21" s="44" t="n">
        <v>46535</v>
      </c>
      <c r="G21" s="43" t="s">
        <v>468</v>
      </c>
      <c r="H21" s="27" t="s">
        <v>541</v>
      </c>
      <c r="I21" s="27" t="s">
        <v>542</v>
      </c>
    </row>
    <row r="22" customFormat="false" ht="15" hidden="false" customHeight="false" outlineLevel="0" collapsed="false">
      <c r="A22" s="25" t="s">
        <v>543</v>
      </c>
      <c r="B22" s="27" t="s">
        <v>290</v>
      </c>
      <c r="C22" s="27" t="s">
        <v>544</v>
      </c>
      <c r="D22" s="27" t="s">
        <v>58</v>
      </c>
      <c r="E22" s="19" t="n">
        <v>2</v>
      </c>
      <c r="F22" s="44" t="n">
        <v>46507</v>
      </c>
      <c r="G22" s="43" t="s">
        <v>468</v>
      </c>
      <c r="H22" s="27" t="s">
        <v>300</v>
      </c>
      <c r="I22" s="27" t="s">
        <v>545</v>
      </c>
    </row>
    <row r="23" customFormat="false" ht="15" hidden="false" customHeight="false" outlineLevel="0" collapsed="false">
      <c r="A23" s="25" t="s">
        <v>546</v>
      </c>
      <c r="B23" s="27" t="s">
        <v>547</v>
      </c>
      <c r="C23" s="27" t="s">
        <v>548</v>
      </c>
      <c r="D23" s="27" t="s">
        <v>58</v>
      </c>
      <c r="E23" s="19" t="n">
        <v>2</v>
      </c>
      <c r="F23" s="44" t="n">
        <v>46477</v>
      </c>
      <c r="G23" s="43" t="s">
        <v>468</v>
      </c>
      <c r="H23" s="27" t="s">
        <v>300</v>
      </c>
      <c r="I23" s="27" t="s">
        <v>549</v>
      </c>
    </row>
    <row r="24" customFormat="false" ht="15" hidden="false" customHeight="false" outlineLevel="0" collapsed="false">
      <c r="A24" s="25" t="s">
        <v>550</v>
      </c>
      <c r="B24" s="27" t="s">
        <v>73</v>
      </c>
      <c r="C24" s="27" t="s">
        <v>551</v>
      </c>
      <c r="D24" s="27" t="s">
        <v>58</v>
      </c>
      <c r="E24" s="19" t="n">
        <v>2</v>
      </c>
      <c r="F24" s="44" t="n">
        <v>46477</v>
      </c>
      <c r="G24" s="43" t="s">
        <v>468</v>
      </c>
      <c r="H24" s="27" t="s">
        <v>552</v>
      </c>
      <c r="I24" s="27" t="s">
        <v>553</v>
      </c>
    </row>
    <row r="25" customFormat="false" ht="23.85" hidden="false" customHeight="false" outlineLevel="0" collapsed="false">
      <c r="A25" s="25" t="s">
        <v>554</v>
      </c>
      <c r="B25" s="27" t="s">
        <v>73</v>
      </c>
      <c r="C25" s="27" t="s">
        <v>555</v>
      </c>
      <c r="D25" s="27" t="s">
        <v>62</v>
      </c>
      <c r="E25" s="19" t="n">
        <v>2</v>
      </c>
      <c r="F25" s="44" t="n">
        <v>46535</v>
      </c>
      <c r="G25" s="43" t="s">
        <v>468</v>
      </c>
      <c r="H25" s="27" t="s">
        <v>552</v>
      </c>
      <c r="I25" s="27" t="s">
        <v>556</v>
      </c>
    </row>
    <row r="26" customFormat="false" ht="15" hidden="false" customHeight="false" outlineLevel="0" collapsed="false">
      <c r="A26" s="25" t="s">
        <v>557</v>
      </c>
      <c r="B26" s="27" t="s">
        <v>313</v>
      </c>
      <c r="C26" s="27" t="s">
        <v>558</v>
      </c>
      <c r="D26" s="27" t="s">
        <v>59</v>
      </c>
      <c r="E26" s="19" t="n">
        <v>2</v>
      </c>
      <c r="F26" s="44" t="n">
        <v>46477</v>
      </c>
      <c r="G26" s="43" t="s">
        <v>468</v>
      </c>
      <c r="H26" s="27" t="s">
        <v>512</v>
      </c>
      <c r="I26" s="27" t="s">
        <v>559</v>
      </c>
    </row>
    <row r="27" customFormat="false" ht="23.85" hidden="false" customHeight="false" outlineLevel="0" collapsed="false">
      <c r="A27" s="25" t="s">
        <v>560</v>
      </c>
      <c r="B27" s="27" t="s">
        <v>561</v>
      </c>
      <c r="C27" s="27" t="s">
        <v>562</v>
      </c>
      <c r="D27" s="27" t="s">
        <v>62</v>
      </c>
      <c r="E27" s="19" t="n">
        <v>2</v>
      </c>
      <c r="F27" s="44" t="n">
        <v>46477</v>
      </c>
      <c r="G27" s="43" t="s">
        <v>468</v>
      </c>
      <c r="H27" s="27" t="s">
        <v>563</v>
      </c>
      <c r="I27" s="27" t="s">
        <v>564</v>
      </c>
    </row>
    <row r="28" customFormat="false" ht="15" hidden="false" customHeight="false" outlineLevel="0" collapsed="false">
      <c r="A28" s="25" t="s">
        <v>565</v>
      </c>
      <c r="B28" s="27" t="s">
        <v>71</v>
      </c>
      <c r="C28" s="27" t="s">
        <v>566</v>
      </c>
      <c r="D28" s="27" t="s">
        <v>61</v>
      </c>
      <c r="E28" s="19" t="n">
        <v>2</v>
      </c>
      <c r="F28" s="44" t="n">
        <v>46477</v>
      </c>
      <c r="G28" s="43" t="s">
        <v>468</v>
      </c>
      <c r="H28" s="27" t="s">
        <v>563</v>
      </c>
      <c r="I28" s="27" t="s">
        <v>567</v>
      </c>
    </row>
    <row r="29" customFormat="false" ht="15" hidden="false" customHeight="false" outlineLevel="0" collapsed="false">
      <c r="A29" s="25" t="s">
        <v>568</v>
      </c>
      <c r="B29" s="27" t="s">
        <v>71</v>
      </c>
      <c r="C29" s="27" t="s">
        <v>569</v>
      </c>
      <c r="D29" s="27" t="s">
        <v>62</v>
      </c>
      <c r="E29" s="19" t="n">
        <v>2</v>
      </c>
      <c r="F29" s="44" t="n">
        <v>46535</v>
      </c>
      <c r="G29" s="43" t="s">
        <v>468</v>
      </c>
      <c r="H29" s="27" t="s">
        <v>563</v>
      </c>
      <c r="I29" s="27" t="s">
        <v>570</v>
      </c>
    </row>
    <row r="30" customFormat="false" ht="23.85" hidden="false" customHeight="false" outlineLevel="0" collapsed="false">
      <c r="A30" s="25" t="s">
        <v>571</v>
      </c>
      <c r="B30" s="27" t="s">
        <v>415</v>
      </c>
      <c r="C30" s="27" t="s">
        <v>572</v>
      </c>
      <c r="D30" s="27" t="s">
        <v>61</v>
      </c>
      <c r="E30" s="19" t="n">
        <v>2</v>
      </c>
      <c r="F30" s="44" t="n">
        <v>46568</v>
      </c>
      <c r="G30" s="43" t="s">
        <v>468</v>
      </c>
      <c r="H30" s="27" t="s">
        <v>425</v>
      </c>
      <c r="I30" s="27" t="s">
        <v>573</v>
      </c>
    </row>
    <row r="31" customFormat="false" ht="23.85" hidden="false" customHeight="false" outlineLevel="0" collapsed="false">
      <c r="A31" s="25" t="s">
        <v>574</v>
      </c>
      <c r="B31" s="27" t="s">
        <v>437</v>
      </c>
      <c r="C31" s="27" t="s">
        <v>575</v>
      </c>
      <c r="D31" s="27" t="s">
        <v>61</v>
      </c>
      <c r="E31" s="19" t="n">
        <v>2</v>
      </c>
      <c r="F31" s="44" t="n">
        <v>46477</v>
      </c>
      <c r="G31" s="43" t="s">
        <v>468</v>
      </c>
      <c r="H31" s="27" t="s">
        <v>576</v>
      </c>
      <c r="I31" s="27" t="s">
        <v>577</v>
      </c>
    </row>
    <row r="32" customFormat="false" ht="15" hidden="false" customHeight="false" outlineLevel="0" collapsed="false">
      <c r="A32" s="25" t="s">
        <v>578</v>
      </c>
      <c r="B32" s="27" t="s">
        <v>579</v>
      </c>
      <c r="C32" s="27" t="s">
        <v>580</v>
      </c>
      <c r="D32" s="27" t="s">
        <v>59</v>
      </c>
      <c r="E32" s="19" t="n">
        <v>3</v>
      </c>
      <c r="F32" s="44" t="n">
        <v>46598</v>
      </c>
      <c r="G32" s="43" t="s">
        <v>468</v>
      </c>
      <c r="H32" s="27" t="s">
        <v>541</v>
      </c>
      <c r="I32" s="27" t="s">
        <v>581</v>
      </c>
    </row>
    <row r="33" customFormat="false" ht="15" hidden="false" customHeight="false" outlineLevel="0" collapsed="false">
      <c r="A33" s="25" t="s">
        <v>582</v>
      </c>
      <c r="B33" s="27" t="s">
        <v>73</v>
      </c>
      <c r="C33" s="27" t="s">
        <v>583</v>
      </c>
      <c r="D33" s="27" t="s">
        <v>62</v>
      </c>
      <c r="E33" s="19" t="n">
        <v>3</v>
      </c>
      <c r="F33" s="44" t="n">
        <v>46598</v>
      </c>
      <c r="G33" s="43" t="s">
        <v>468</v>
      </c>
      <c r="H33" s="27" t="s">
        <v>584</v>
      </c>
      <c r="I33" s="27" t="s">
        <v>585</v>
      </c>
    </row>
    <row r="34" customFormat="false" ht="23.85" hidden="false" customHeight="false" outlineLevel="0" collapsed="false">
      <c r="A34" s="25" t="s">
        <v>586</v>
      </c>
      <c r="B34" s="27" t="s">
        <v>587</v>
      </c>
      <c r="C34" s="27" t="s">
        <v>588</v>
      </c>
      <c r="D34" s="27" t="s">
        <v>59</v>
      </c>
      <c r="E34" s="19" t="n">
        <v>3</v>
      </c>
      <c r="F34" s="44" t="n">
        <v>46626</v>
      </c>
      <c r="G34" s="43" t="s">
        <v>468</v>
      </c>
      <c r="H34" s="27" t="s">
        <v>413</v>
      </c>
      <c r="I34" s="27" t="s">
        <v>589</v>
      </c>
    </row>
    <row r="35" customFormat="false" ht="15" hidden="false" customHeight="false" outlineLevel="0" collapsed="false">
      <c r="A35" s="25" t="s">
        <v>590</v>
      </c>
      <c r="B35" s="27" t="s">
        <v>278</v>
      </c>
      <c r="C35" s="27" t="s">
        <v>591</v>
      </c>
      <c r="D35" s="27" t="s">
        <v>62</v>
      </c>
      <c r="E35" s="19" t="n">
        <v>3</v>
      </c>
      <c r="F35" s="44" t="n">
        <v>46568</v>
      </c>
      <c r="G35" s="43" t="s">
        <v>468</v>
      </c>
      <c r="H35" s="27" t="s">
        <v>592</v>
      </c>
      <c r="I35" s="27" t="s">
        <v>593</v>
      </c>
    </row>
    <row r="36" customFormat="false" ht="23.85" hidden="false" customHeight="false" outlineLevel="0" collapsed="false">
      <c r="A36" s="25" t="s">
        <v>594</v>
      </c>
      <c r="B36" s="27" t="s">
        <v>595</v>
      </c>
      <c r="C36" s="27" t="s">
        <v>596</v>
      </c>
      <c r="D36" s="27" t="s">
        <v>62</v>
      </c>
      <c r="E36" s="19" t="n">
        <v>3</v>
      </c>
      <c r="F36" s="44" t="n">
        <v>46660</v>
      </c>
      <c r="G36" s="43" t="s">
        <v>468</v>
      </c>
      <c r="H36" s="27" t="s">
        <v>597</v>
      </c>
      <c r="I36" s="27" t="s">
        <v>598</v>
      </c>
    </row>
    <row r="37" customFormat="false" ht="23.85" hidden="false" customHeight="false" outlineLevel="0" collapsed="false">
      <c r="A37" s="25" t="s">
        <v>599</v>
      </c>
      <c r="B37" s="27" t="s">
        <v>70</v>
      </c>
      <c r="C37" s="27" t="s">
        <v>600</v>
      </c>
      <c r="D37" s="27" t="s">
        <v>59</v>
      </c>
      <c r="E37" s="19" t="n">
        <v>3</v>
      </c>
      <c r="F37" s="44" t="n">
        <v>46626</v>
      </c>
      <c r="G37" s="43" t="s">
        <v>468</v>
      </c>
      <c r="H37" s="27" t="s">
        <v>333</v>
      </c>
      <c r="I37" s="27" t="s">
        <v>601</v>
      </c>
    </row>
    <row r="38" customFormat="false" ht="15" hidden="false" customHeight="false" outlineLevel="0" collapsed="false">
      <c r="A38" s="25" t="s">
        <v>602</v>
      </c>
      <c r="B38" s="27" t="s">
        <v>70</v>
      </c>
      <c r="C38" s="27" t="s">
        <v>603</v>
      </c>
      <c r="D38" s="27" t="s">
        <v>59</v>
      </c>
      <c r="E38" s="19" t="n">
        <v>3</v>
      </c>
      <c r="F38" s="44" t="n">
        <v>46660</v>
      </c>
      <c r="G38" s="43" t="s">
        <v>468</v>
      </c>
      <c r="H38" s="27" t="s">
        <v>333</v>
      </c>
      <c r="I38" s="27" t="s">
        <v>604</v>
      </c>
    </row>
    <row r="39" customFormat="false" ht="23.85" hidden="false" customHeight="false" outlineLevel="0" collapsed="false">
      <c r="A39" s="25" t="s">
        <v>605</v>
      </c>
      <c r="B39" s="27" t="s">
        <v>379</v>
      </c>
      <c r="C39" s="27" t="s">
        <v>606</v>
      </c>
      <c r="D39" s="27" t="s">
        <v>61</v>
      </c>
      <c r="E39" s="19" t="n">
        <v>3</v>
      </c>
      <c r="F39" s="44" t="n">
        <v>46568</v>
      </c>
      <c r="G39" s="43" t="s">
        <v>468</v>
      </c>
      <c r="H39" s="27" t="s">
        <v>607</v>
      </c>
      <c r="I39" s="27" t="s">
        <v>608</v>
      </c>
    </row>
    <row r="40" customFormat="false" ht="15" hidden="false" customHeight="false" outlineLevel="0" collapsed="false">
      <c r="A40" s="25" t="s">
        <v>609</v>
      </c>
      <c r="B40" s="27" t="s">
        <v>67</v>
      </c>
      <c r="C40" s="27" t="s">
        <v>610</v>
      </c>
      <c r="D40" s="27" t="s">
        <v>60</v>
      </c>
      <c r="E40" s="19" t="n">
        <v>4</v>
      </c>
      <c r="F40" s="44" t="n">
        <v>46689</v>
      </c>
      <c r="G40" s="43" t="s">
        <v>468</v>
      </c>
      <c r="H40" s="27" t="s">
        <v>611</v>
      </c>
      <c r="I40" s="27" t="s">
        <v>612</v>
      </c>
    </row>
    <row r="41" customFormat="false" ht="15" hidden="false" customHeight="false" outlineLevel="0" collapsed="false">
      <c r="A41" s="25" t="s">
        <v>613</v>
      </c>
      <c r="B41" s="27" t="s">
        <v>67</v>
      </c>
      <c r="C41" s="27" t="s">
        <v>614</v>
      </c>
      <c r="D41" s="27" t="s">
        <v>60</v>
      </c>
      <c r="E41" s="19" t="n">
        <v>4</v>
      </c>
      <c r="F41" s="44" t="n">
        <v>46717</v>
      </c>
      <c r="G41" s="43" t="s">
        <v>468</v>
      </c>
      <c r="H41" s="27" t="s">
        <v>615</v>
      </c>
      <c r="I41" s="27" t="s">
        <v>616</v>
      </c>
    </row>
    <row r="42" customFormat="false" ht="23.85" hidden="false" customHeight="false" outlineLevel="0" collapsed="false">
      <c r="A42" s="25" t="s">
        <v>617</v>
      </c>
      <c r="B42" s="27" t="s">
        <v>618</v>
      </c>
      <c r="C42" s="27" t="s">
        <v>619</v>
      </c>
      <c r="D42" s="27" t="s">
        <v>62</v>
      </c>
      <c r="E42" s="19" t="n">
        <v>0</v>
      </c>
      <c r="F42" s="44" t="n">
        <v>46332</v>
      </c>
      <c r="G42" s="43" t="s">
        <v>468</v>
      </c>
      <c r="H42" s="27" t="s">
        <v>620</v>
      </c>
      <c r="I42" s="27" t="s">
        <v>621</v>
      </c>
    </row>
    <row r="43" customFormat="false" ht="23.85" hidden="false" customHeight="false" outlineLevel="0" collapsed="false">
      <c r="A43" s="25" t="s">
        <v>622</v>
      </c>
      <c r="B43" s="27" t="s">
        <v>623</v>
      </c>
      <c r="C43" s="27" t="s">
        <v>624</v>
      </c>
      <c r="D43" s="27" t="s">
        <v>58</v>
      </c>
      <c r="E43" s="19" t="n">
        <v>2</v>
      </c>
      <c r="F43" s="44" t="n">
        <v>46477</v>
      </c>
      <c r="G43" s="43" t="s">
        <v>468</v>
      </c>
      <c r="H43" s="27" t="s">
        <v>625</v>
      </c>
      <c r="I43" s="27" t="s">
        <v>626</v>
      </c>
    </row>
    <row r="44" customFormat="false" ht="23.85" hidden="false" customHeight="false" outlineLevel="0" collapsed="false">
      <c r="A44" s="25" t="s">
        <v>627</v>
      </c>
      <c r="B44" s="27" t="s">
        <v>73</v>
      </c>
      <c r="C44" s="27" t="s">
        <v>628</v>
      </c>
      <c r="D44" s="27" t="s">
        <v>59</v>
      </c>
      <c r="E44" s="19" t="n">
        <v>3</v>
      </c>
      <c r="F44" s="44" t="n">
        <v>46598</v>
      </c>
      <c r="G44" s="43" t="s">
        <v>468</v>
      </c>
      <c r="H44" s="27" t="s">
        <v>629</v>
      </c>
      <c r="I44" s="27" t="s">
        <v>630</v>
      </c>
    </row>
    <row r="46" customFormat="false" ht="15" hidden="false" customHeight="true" outlineLevel="0" collapsed="false">
      <c r="A46" s="47" t="s">
        <v>631</v>
      </c>
      <c r="B46" s="47"/>
      <c r="C46" s="47"/>
      <c r="D46" s="47"/>
      <c r="E46" s="47"/>
      <c r="F46" s="47"/>
      <c r="G46" s="47"/>
      <c r="H46" s="47"/>
      <c r="I46" s="47"/>
    </row>
  </sheetData>
  <autoFilter ref="A1:I44"/>
  <mergeCells count="1">
    <mergeCell ref="A46:I46"/>
  </mergeCells>
  <dataValidations count="1">
    <dataValidation allowBlank="true" errorStyle="stop" operator="between" showDropDown="false" showErrorMessage="false" showInputMessage="false" sqref="G2:G200" type="list">
      <formula1>"Not started,In progress,Complete,Overdue"</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A9DB"/>
    <pageSetUpPr fitToPage="true"/>
  </sheetPr>
  <dimension ref="A1:E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4"/>
    <col collapsed="false" customWidth="true" hidden="false" outlineLevel="0" max="3" min="3" style="0" width="18"/>
    <col collapsed="false" customWidth="true" hidden="false" outlineLevel="0" max="4" min="4" style="0" width="70"/>
    <col collapsed="false" customWidth="true" hidden="false" outlineLevel="0" max="5" min="5" style="0" width="20"/>
  </cols>
  <sheetData>
    <row r="1" customFormat="false" ht="15" hidden="false" customHeight="false" outlineLevel="0" collapsed="false">
      <c r="A1" s="42" t="s">
        <v>6</v>
      </c>
      <c r="B1" s="42" t="s">
        <v>8</v>
      </c>
      <c r="C1" s="42" t="s">
        <v>632</v>
      </c>
      <c r="D1" s="42" t="s">
        <v>633</v>
      </c>
      <c r="E1" s="42" t="s">
        <v>634</v>
      </c>
    </row>
    <row r="2" customFormat="false" ht="42" hidden="false" customHeight="true" outlineLevel="0" collapsed="false">
      <c r="A2" s="27" t="s">
        <v>635</v>
      </c>
      <c r="B2" s="48" t="n">
        <v>46322</v>
      </c>
      <c r="C2" s="27" t="s">
        <v>3</v>
      </c>
      <c r="D2" s="27" t="s">
        <v>636</v>
      </c>
      <c r="E2" s="27" t="s">
        <v>637</v>
      </c>
    </row>
    <row r="3" customFormat="false" ht="42" hidden="false" customHeight="true" outlineLevel="0" collapsed="false">
      <c r="A3" s="27" t="s">
        <v>7</v>
      </c>
      <c r="B3" s="48" t="n">
        <v>46324</v>
      </c>
      <c r="C3" s="27" t="s">
        <v>3</v>
      </c>
      <c r="D3" s="27" t="s">
        <v>638</v>
      </c>
      <c r="E3" s="27" t="s">
        <v>637</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2026-10-29T00:49:28Z</dcterms:created>
  <dc:creator>openpyxl</dc:creator>
  <dc:description/>
  <dc:language>en-US</dc:language>
  <cp:lastModifiedBy/>
  <dcterms:modified xsi:type="dcterms:W3CDTF">2026-10-29T00:49:28Z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